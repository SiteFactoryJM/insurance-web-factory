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안내" state="visible" r:id="rId4"/>
    <sheet sheetId="2" name="작성양식" state="visible" r:id="rId5"/>
    <sheet sheetId="3" name="템플릿안내" state="visible" r:id="rId6"/>
    <sheet sheetId="4" name="제출전확인" state="visible" r:id="rId7"/>
  </sheets>
  <definedNames>
    <definedName name="_xlnm.Print_Area" localSheetId="1">'작성양식'!$A1:$H113</definedName>
    <definedName name="_xlnm.Print_Titles" localSheetId="1">'작성양식'!$1:$4</definedName>
  </definedNames>
  <calcPr calcId="171027" fullCalcOnLoad="1"/>
</workbook>
</file>

<file path=xl/sharedStrings.xml><?xml version="1.0" encoding="utf-8"?>
<sst xmlns="http://schemas.openxmlformats.org/spreadsheetml/2006/main" count="879" uniqueCount="482">
  <si>
    <t>보험설계사 홈페이지 자료수집</t>
  </si>
  <si>
    <t>먼저 목적과 고객을 정하고, PC 문구와 모바일 문구를 나누어 작성해 주세요.</t>
  </si>
  <si>
    <t>작성 순서</t>
  </si>
  <si>
    <t>01 · 방향 정하기</t>
  </si>
  <si>
    <t>콘텐츠 기획</t>
  </si>
  <si>
    <t>홈페이지의 목적, 주로 만날 고객, 방문자가 할 첫 행동을 적습니다. 제작 참고용으로만 사용합니다.</t>
  </si>
  <si>
    <t>02 · 정보 작성</t>
  </si>
  <si>
    <t>작성양식의 노란색 E열</t>
  </si>
  <si>
    <t>이름·소속·연락처·상담 범위는 확인 가능한 사실을 작성하세요. A열 시스템키는 변경하지 마세요.</t>
  </si>
  <si>
    <t>03 · 문구 나누기</t>
  </si>
  <si>
    <t>PC는 설명, 모바일은 핵심</t>
  </si>
  <si>
    <t>PC 행 바로 아래의 모바일 행에 짧은 문구를 적습니다. 모바일이 비어 있으면 PC 원문을 그대로 표시합니다.</t>
  </si>
  <si>
    <t>04 · 이미지 준비</t>
  </si>
  <si>
    <t>엑셀과 같은 폴더</t>
  </si>
  <si>
    <t>프로필은 세로 3:4 또는 4:5 사진을 권장합니다. 사용 권한을 확인하고 실제 파일명을 적으세요.</t>
  </si>
  <si>
    <t>05 · 제출 전 점검</t>
  </si>
  <si>
    <t>제출전확인 시트</t>
  </si>
  <si>
    <t>필수값과 동의를 확인합니다. 제출 파일을 가져올 때 문구 길이와 설정을 다시 검증합니다.</t>
  </si>
  <si>
    <t>문구 길이 기준 · 공백과 줄바꿈 포함</t>
  </si>
  <si>
    <t>작성 영역</t>
  </si>
  <si>
    <t>PC / 모바일</t>
  </si>
  <si>
    <t>작성 요령</t>
  </si>
  <si>
    <t>메인 제목</t>
  </si>
  <si>
    <t>40자 / 24자 이내</t>
  </si>
  <si>
    <t>누구에게 어떤 상담을 제공하는지 한 가지 메시지로 적습니다.</t>
  </si>
  <si>
    <t>메인 설명</t>
  </si>
  <si>
    <t>120자 / 60자 이내</t>
  </si>
  <si>
    <t>상담 범위와 다음 행동을 알려 주세요. 모바일은 한두 문장으로 정리합니다.</t>
  </si>
  <si>
    <t>소개 제목</t>
  </si>
  <si>
    <t>상담자의 원칙을 짧게 적습니다.</t>
  </si>
  <si>
    <t>상세 소개</t>
  </si>
  <si>
    <t>400자 / 100자 이내</t>
  </si>
  <si>
    <t>실제 상담 방식과 고객이 준비할 내용을 설명합니다.</t>
  </si>
  <si>
    <t>분야·절차 설명</t>
  </si>
  <si>
    <t>120자 / 48자 이내</t>
  </si>
  <si>
    <t>카드 한 개에 하나의 내용만 적습니다.</t>
  </si>
  <si>
    <t>FAQ 답변</t>
  </si>
  <si>
    <t>240자 / 80자 이내</t>
  </si>
  <si>
    <t>답부터 짧게 적되, 가입 조건·불이익·개인정보 안내는 생략하지 않습니다.</t>
  </si>
  <si>
    <t>꼭 확인해 주세요</t>
  </si>
  <si>
    <t>글자수 계산</t>
  </si>
  <si>
    <t>공백 포함</t>
  </si>
  <si>
    <t>한국어·공백·줄바꿈을 각각 한 글자로 셉니다. 최종 가져오기는 Unicode code points로 검증하며, 초과 문구를 자동으로 자르지 않습니다.</t>
  </si>
  <si>
    <t>준법 검토</t>
  </si>
  <si>
    <t>승인받은 문구 유지</t>
  </si>
  <si>
    <t>소속·경력·수상은 사실만 작성하고 상품·보장 홍보는 소속 회사/GA 기준을 확인하세요. 모바일에서도 필수 고지를 유지합니다.</t>
  </si>
  <si>
    <t>개인정보</t>
  </si>
  <si>
    <t>고객 자료는 넣지 않기</t>
  </si>
  <si>
    <t>이 양식에는 실제 고객의 주민등록번호·병력·계약 자료를 적지 마세요. 개인정보 담당자와 보유기간은 실제 운영 방침에 맞춥니다.</t>
  </si>
  <si>
    <t>샘플과 운영</t>
  </si>
  <si>
    <t>초안은 draft</t>
  </si>
  <si>
    <t>샘플 도구는 페이지 최상단에서만 표시합니다. 상담 데모는 입력값을 저장·전송하지 않습니다.</t>
  </si>
  <si>
    <t>홈페이지 작성양식 · PC / 모바일</t>
  </si>
  <si>
    <t>노란색 E열만 작성하세요. PC 아래 모바일 행은 선택입니다. H열의 글자수 기준을 확인해 주세요.</t>
  </si>
  <si>
    <t>시스템키</t>
  </si>
  <si>
    <t>구분</t>
  </si>
  <si>
    <t>작성 항목</t>
  </si>
  <si>
    <t>필수</t>
  </si>
  <si>
    <t>작성란</t>
  </si>
  <si>
    <t>작성 예시</t>
  </si>
  <si>
    <t>안내</t>
  </si>
  <si>
    <t>공백 포함 기준</t>
  </si>
  <si>
    <t>site_purpose</t>
  </si>
  <si>
    <t>홈페이지의 목적</t>
  </si>
  <si>
    <t>선택</t>
  </si>
  <si>
    <t/>
  </si>
  <si>
    <t>상담 전에 제 상담 방식과 연락 방법을 안내하고 싶습니다.</t>
  </si>
  <si>
    <t>공백 포함 100자 이내. 제작 참고용이며 방문자에게 그대로 노출하지 않습니다.</t>
  </si>
  <si>
    <t>target_audience</t>
  </si>
  <si>
    <t>주로 만날 고객</t>
  </si>
  <si>
    <t>기존 가입 내용을 처음 점검하는 30~40대 직장인</t>
  </si>
  <si>
    <t>공백 포함 80자 이내. 제작 참고용이며 방문자에게 그대로 노출하지 않습니다.</t>
  </si>
  <si>
    <t>desired_action</t>
  </si>
  <si>
    <t>방문자가 할 첫 행동</t>
  </si>
  <si>
    <t>상담 주제를 고르고 일정 문의하기</t>
  </si>
  <si>
    <t>공백 포함 60자 이내. 제작 참고용이며 방문자에게 그대로 노출하지 않습니다.</t>
  </si>
  <si>
    <t>사이트 설정</t>
  </si>
  <si>
    <t>site_id</t>
  </si>
  <si>
    <t>사이트 식별자</t>
  </si>
  <si>
    <t>kim-haneul</t>
  </si>
  <si>
    <t>영문 소문자·숫자·하이픈만 사용합니다. 비우면 이름 기준으로 자동 생성합니다.</t>
  </si>
  <si>
    <t>안내 참고</t>
  </si>
  <si>
    <t>publish_status</t>
  </si>
  <si>
    <t>게시 상태</t>
  </si>
  <si>
    <t>draft</t>
  </si>
  <si>
    <t>검수 전에는 draft를 선택하세요.</t>
  </si>
  <si>
    <t>primary_domain</t>
  </si>
  <si>
    <t>대표 도메인</t>
  </si>
  <si>
    <t>haneul-insurance.kr</t>
  </si>
  <si>
    <t>도메인 구매 전이면 비워도 됩니다.</t>
  </si>
  <si>
    <t>additional_domains</t>
  </si>
  <si>
    <t>추가 도메인</t>
  </si>
  <si>
    <t>www.haneul-insurance.kr</t>
  </si>
  <si>
    <t>여러 개면 쉼표로 구분합니다.</t>
  </si>
  <si>
    <t>template</t>
  </si>
  <si>
    <t>템플릿</t>
  </si>
  <si>
    <t>trust-blue</t>
  </si>
  <si>
    <t>템플릿안내에서 배치 구조를 고르세요. 화면 최상단의 샘플 도구에서 배치와 색상을 비교할 수 있습니다.</t>
  </si>
  <si>
    <t>accent_color</t>
  </si>
  <si>
    <t>포인트 색상</t>
  </si>
  <si>
    <t>#1E5AA8</t>
  </si>
  <si>
    <t>HEX 색상(#RRGGBB). 비우면 템플릿 기본색을 사용합니다.</t>
  </si>
  <si>
    <t>heading_font</t>
  </si>
  <si>
    <t>제목 글꼴</t>
  </si>
  <si>
    <t>pretendard</t>
  </si>
  <si>
    <t>본문은 모바일 가독성이 높은 Pretendard 계열로 고정됩니다.</t>
  </si>
  <si>
    <t>설계사 기본정보</t>
  </si>
  <si>
    <t>agent_name</t>
  </si>
  <si>
    <t>설계사 이름</t>
  </si>
  <si>
    <t>김하늘</t>
  </si>
  <si>
    <t>사이트 메인에 표시되는 이름입니다.</t>
  </si>
  <si>
    <t>agent_title</t>
  </si>
  <si>
    <t>직함/호칭</t>
  </si>
  <si>
    <t>보험설계사</t>
  </si>
  <si>
    <t>재무설계 전문 보험설계사</t>
  </si>
  <si>
    <t>과장된 자격·직함은 입력하지 마세요.</t>
  </si>
  <si>
    <t>company_name</t>
  </si>
  <si>
    <t>소속 회사/GA</t>
  </si>
  <si>
    <t>JM 라이프컨설팅</t>
  </si>
  <si>
    <t>실제 소속 명칭과 일치해야 합니다.</t>
  </si>
  <si>
    <t>branch_name</t>
  </si>
  <si>
    <t>지점/팀명</t>
  </si>
  <si>
    <t>대전중앙지점</t>
  </si>
  <si>
    <t>없으면 비워도 됩니다.</t>
  </si>
  <si>
    <t>registration_number</t>
  </si>
  <si>
    <t>보험설계사 등록번호</t>
  </si>
  <si>
    <t>제2026-000000호</t>
  </si>
  <si>
    <t>회사 준법 기준에 따라 공개 여부를 확인하세요.</t>
  </si>
  <si>
    <t>career_years</t>
  </si>
  <si>
    <t>경력 연차</t>
  </si>
  <si>
    <t>8</t>
  </si>
  <si>
    <t>숫자만 입력합니다.</t>
  </si>
  <si>
    <t>service_regions</t>
  </si>
  <si>
    <t>주요 상담 지역</t>
  </si>
  <si>
    <t>대전, 세종, 충남 / 전국 비대면</t>
  </si>
  <si>
    <t>여러 지역은 쉼표 또는 슬래시로 구분합니다.</t>
  </si>
  <si>
    <t>profile_photo_filename</t>
  </si>
  <si>
    <t>프로필 사진 파일명</t>
  </si>
  <si>
    <t>profile.jpg</t>
  </si>
  <si>
    <t>이 엑셀과 같은 폴더에 사진 파일을 함께 제출하세요.</t>
  </si>
  <si>
    <t>logo_filename</t>
  </si>
  <si>
    <t>소속 로고 파일명</t>
  </si>
  <si>
    <t>logo.png</t>
  </si>
  <si>
    <t>사용 권한이 있는 공식 로고만 제출하세요.</t>
  </si>
  <si>
    <t>메인 문구</t>
  </si>
  <si>
    <t>eyebrow</t>
  </si>
  <si>
    <t>상단 짧은 문구</t>
  </si>
  <si>
    <t>내 상황에 맞는 보험 상담</t>
  </si>
  <si>
    <t>대전·세종 맞춤 보험 상담</t>
  </si>
  <si>
    <t>20자 안팎을 권장합니다.</t>
  </si>
  <si>
    <t>headline</t>
  </si>
  <si>
    <t>메인 제목 · PC</t>
  </si>
  <si>
    <t>어려운 보험, 이해하기 쉽게 함께 살펴보겠습니다.</t>
  </si>
  <si>
    <t>공백 포함 40자 이내. 확정 수익·무조건 보장처럼 오해할 표현은 금지합니다.</t>
  </si>
  <si>
    <t>mobile_headline</t>
  </si>
  <si>
    <t>메인 제목 · 모바일</t>
  </si>
  <si>
    <t>보험을 이해하는 첫걸음</t>
  </si>
  <si>
    <t>공백 포함 24자 이내. 핵심만 한두 문장으로 작성하세요. 비우면 PC 원문을 그대로 사용합니다.</t>
  </si>
  <si>
    <t>subheadline</t>
  </si>
  <si>
    <t>메인 설명 · PC</t>
  </si>
  <si>
    <t>가입보다 중요한 것은 현재 상황을 정확히 이해하고 꾸준히 관리하는 일입니다.</t>
  </si>
  <si>
    <t>공백 포함 120자 이내. 현재 상황·상담 범위·다음 행동을 설명하세요.</t>
  </si>
  <si>
    <t>mobile_subheadline</t>
  </si>
  <si>
    <t>메인 설명 · 모바일</t>
  </si>
  <si>
    <t>현재 보장을 함께 확인하고, 충분히 이해한 뒤 결정하세요.</t>
  </si>
  <si>
    <t>공백 포함 60자 이내. 핵심만 한두 문장으로 작성하세요. 비우면 PC 원문을 그대로 사용합니다.</t>
  </si>
  <si>
    <t>primary_cta_label</t>
  </si>
  <si>
    <t>주요 버튼 문구</t>
  </si>
  <si>
    <t>상담 문의하기</t>
  </si>
  <si>
    <t>12자 이내 권장. 누른 뒤 할 행동을 적으세요. 예: 상담 요청하기</t>
  </si>
  <si>
    <t>secondary_cta_label</t>
  </si>
  <si>
    <t>보조 버튼 문구</t>
  </si>
  <si>
    <t>상담 분야 보기</t>
  </si>
  <si>
    <t>12자 이내 권장. 상담 분야 영역으로 이동하는 버튼입니다.</t>
  </si>
  <si>
    <t>trust_note</t>
  </si>
  <si>
    <t>신뢰 보조 문구</t>
  </si>
  <si>
    <t>충분히 설명드린 뒤 고객이 직접 판단할 수 있도록 돕습니다.</t>
  </si>
  <si>
    <t>짧고 사실에 근거한 문구를 입력하세요.</t>
  </si>
  <si>
    <t>소개</t>
  </si>
  <si>
    <t>intro_title</t>
  </si>
  <si>
    <t>소개 제목 · PC</t>
  </si>
  <si>
    <t>안녕하세요. 보험을 쉽게 설명하는 설계사입니다.</t>
  </si>
  <si>
    <t>고객의 생활을 먼저 듣는 상담을 지향합니다.</t>
  </si>
  <si>
    <t>공백 포함 40자 이내. 소개 영역의 제목입니다.</t>
  </si>
  <si>
    <t>intro_mobile_title</t>
  </si>
  <si>
    <t>소개 제목 · 모바일</t>
  </si>
  <si>
    <t>고객의 상황부터 듣겠습니다.</t>
  </si>
  <si>
    <t>intro_body</t>
  </si>
  <si>
    <t>상세 소개 · PC</t>
  </si>
  <si>
    <t xml:space="preserve">보험은 한 번 가입하고 끝나는 상품이 아니라 삶의 변화에 맞춰 점검해야 하는 약속이라고 생각합니다.
현재 보장 내용을 함께 살펴보고 필요한 부분과 불필요한 부분을 이해하기 쉽게 설명드리겠습니다.</t>
  </si>
  <si>
    <t>공백 포함 400자 이내. 문단은 줄바꿈으로 구분합니다.</t>
  </si>
  <si>
    <t>intro_mobile_body</t>
  </si>
  <si>
    <t>상세 소개 · 모바일</t>
  </si>
  <si>
    <t>가입 내역과 생활 예산을 함께 살펴봅니다. 이해하기 쉽게 설명드리고, 충분히 비교한 뒤 결정할 수 있도록 돕겠습니다.</t>
  </si>
  <si>
    <t>공백 포함 100자 이내. 핵심만 한두 문장으로 작성하세요. 비우면 PC 원문을 그대로 사용합니다.</t>
  </si>
  <si>
    <t>consultation_philosophy</t>
  </si>
  <si>
    <t>상담 원칙</t>
  </si>
  <si>
    <t>먼저 듣고, 함께 확인하고, 충분히 설명합니다.</t>
  </si>
  <si>
    <t>본인의 실제 상담 방식을 입력하세요.</t>
  </si>
  <si>
    <t>전문 상담 분야</t>
  </si>
  <si>
    <t>specialty_1_title</t>
  </si>
  <si>
    <t>전문분야 1 제목</t>
  </si>
  <si>
    <t>기존 보험 점검</t>
  </si>
  <si>
    <t>예: 기존 보험 점검, 건강보험, 자녀보험</t>
  </si>
  <si>
    <t>specialty_1_body</t>
  </si>
  <si>
    <t>전문분야 1 설명 · PC</t>
  </si>
  <si>
    <t>가입 내역을 한눈에 정리하고 중복·공백 여부를 함께 확인합니다.</t>
  </si>
  <si>
    <t>공백 포함 120자 이내. 보장 확정 표현 없이 상담 범위를 설명하세요.</t>
  </si>
  <si>
    <t>specialty_1_mobile_body</t>
  </si>
  <si>
    <t>전문분야 1 설명 · 모바일</t>
  </si>
  <si>
    <t>가입한 보장과 기간을 함께 확인합니다.</t>
  </si>
  <si>
    <t>공백 포함 48자 이내. PC 문구의 조건·주의사항은 유지하세요. 비우면 PC 원문을 사용합니다.</t>
  </si>
  <si>
    <t>specialty_2_title</t>
  </si>
  <si>
    <t>전문분야 2 제목</t>
  </si>
  <si>
    <t>생애주기 상담</t>
  </si>
  <si>
    <t>specialty_2_body</t>
  </si>
  <si>
    <t>전문분야 2 설명 · PC</t>
  </si>
  <si>
    <t>결혼, 출산, 자녀 성장 등 변화에 맞춰 점검합니다.</t>
  </si>
  <si>
    <t xml:space="preserve">공백 포함 120자 이내. </t>
  </si>
  <si>
    <t>specialty_2_mobile_body</t>
  </si>
  <si>
    <t>전문분야 2 설명 · 모바일</t>
  </si>
  <si>
    <t>생활 변화에 맞춰 필요한 질문을 정리합니다.</t>
  </si>
  <si>
    <t>specialty_3_title</t>
  </si>
  <si>
    <t>전문분야 3 제목</t>
  </si>
  <si>
    <t>건강·질병 보장</t>
  </si>
  <si>
    <t>specialty_3_body</t>
  </si>
  <si>
    <t>전문분야 3 설명 · PC</t>
  </si>
  <si>
    <t>현재 건강 상태와 예산을 고려해 이해하기 쉽게 비교 설명합니다.</t>
  </si>
  <si>
    <t>specialty_3_mobile_body</t>
  </si>
  <si>
    <t>전문분야 3 설명 · 모바일</t>
  </si>
  <si>
    <t>보장 범위와 조건을 이해하기 쉽게 설명합니다.</t>
  </si>
  <si>
    <t>specialty_4_title</t>
  </si>
  <si>
    <t>전문분야 4 제목</t>
  </si>
  <si>
    <t>비대면 상담</t>
  </si>
  <si>
    <t>필요하지 않으면 제목과 설명을 모두 비웁니다.</t>
  </si>
  <si>
    <t>specialty_4_body</t>
  </si>
  <si>
    <t>전문분야 4 설명 · PC</t>
  </si>
  <si>
    <t>거리와 관계없이 전화·온라인으로 상담합니다.</t>
  </si>
  <si>
    <t>specialty_4_mobile_body</t>
  </si>
  <si>
    <t>전문분야 4 설명 · 모바일</t>
  </si>
  <si>
    <t>전화·온라인 상담 일정을 조율합니다.</t>
  </si>
  <si>
    <t>상담 절차</t>
  </si>
  <si>
    <t>process_1_title</t>
  </si>
  <si>
    <t>상담절차 1 제목</t>
  </si>
  <si>
    <t>상담 신청</t>
  </si>
  <si>
    <t>process_1_body</t>
  </si>
  <si>
    <t>상담절차 1 설명 · PC</t>
  </si>
  <si>
    <t>편한 연락 방법과 시간을 남겨주세요.</t>
  </si>
  <si>
    <t>process_1_mobile_body</t>
  </si>
  <si>
    <t>상담절차 1 설명 · 모바일</t>
  </si>
  <si>
    <t>상담 주제와 편한 연락 시간을 알려주세요.</t>
  </si>
  <si>
    <t>process_2_title</t>
  </si>
  <si>
    <t>상담절차 2 제목</t>
  </si>
  <si>
    <t>현재 상황 확인</t>
  </si>
  <si>
    <t>process_2_body</t>
  </si>
  <si>
    <t>상담절차 2 설명 · PC</t>
  </si>
  <si>
    <t>고민과 기존 가입 내용을 차분히 확인합니다.</t>
  </si>
  <si>
    <t>process_2_mobile_body</t>
  </si>
  <si>
    <t>상담절차 2 설명 · 모바일</t>
  </si>
  <si>
    <t>현재 고민과 가입 내용을 함께 확인합니다.</t>
  </si>
  <si>
    <t>process_3_title</t>
  </si>
  <si>
    <t>상담절차 3 제목</t>
  </si>
  <si>
    <t>분석 및 설명</t>
  </si>
  <si>
    <t>process_3_body</t>
  </si>
  <si>
    <t>상담절차 3 설명 · PC</t>
  </si>
  <si>
    <t>필요한 정보와 선택지를 이해하기 쉽게 설명합니다.</t>
  </si>
  <si>
    <t>process_3_mobile_body</t>
  </si>
  <si>
    <t>상담절차 3 설명 · 모바일</t>
  </si>
  <si>
    <t>선택에 필요한 정보를 쉽게 설명합니다.</t>
  </si>
  <si>
    <t>process_4_title</t>
  </si>
  <si>
    <t>상담절차 4 제목</t>
  </si>
  <si>
    <t>결정 및 관리</t>
  </si>
  <si>
    <t>process_4_body</t>
  </si>
  <si>
    <t>상담절차 4 설명 · PC</t>
  </si>
  <si>
    <t>충분히 검토한 뒤 결정하고 이후 변경 사항도 점검합니다.</t>
  </si>
  <si>
    <t>process_4_mobile_body</t>
  </si>
  <si>
    <t>상담절차 4 설명 · 모바일</t>
  </si>
  <si>
    <t>충분히 검토한 뒤 직접 결정하세요.</t>
  </si>
  <si>
    <t>경력/활동</t>
  </si>
  <si>
    <t>career_1</t>
  </si>
  <si>
    <t>경력/활동 1</t>
  </si>
  <si>
    <t>2020년 보험 상담 업무 시작</t>
  </si>
  <si>
    <t>사실로 확인 가능한 내용만 입력하세요.</t>
  </si>
  <si>
    <t>career_2</t>
  </si>
  <si>
    <t>경력/활동 2</t>
  </si>
  <si>
    <t>2023년 사내 고객 만족 우수 상담 사례 선정</t>
  </si>
  <si>
    <t>수상·선정 표현은 증빙과 사용 승인을 확인하세요.</t>
  </si>
  <si>
    <t>career_3</t>
  </si>
  <si>
    <t>경력/활동 3</t>
  </si>
  <si>
    <t>보장 분석 및 생애주기 상담 교육 이수</t>
  </si>
  <si>
    <t>career_4</t>
  </si>
  <si>
    <t>경력/활동 4</t>
  </si>
  <si>
    <t>대전·세종 지역 대면 상담</t>
  </si>
  <si>
    <t>career_5</t>
  </si>
  <si>
    <t>경력/활동 5</t>
  </si>
  <si>
    <t>전국 비대면 상담 운영</t>
  </si>
  <si>
    <t>자주 묻는 질문</t>
  </si>
  <si>
    <t>faq_1_question</t>
  </si>
  <si>
    <t>질문 1</t>
  </si>
  <si>
    <t>상담만 받아도 괜찮나요?</t>
  </si>
  <si>
    <t>faq_1_answer</t>
  </si>
  <si>
    <t>답변 1 · PC</t>
  </si>
  <si>
    <t>네. 현재 상황을 확인하고 설명을 들은 뒤 충분히 검토하실 수 있습니다.</t>
  </si>
  <si>
    <t xml:space="preserve">공백 포함 240자 이내. </t>
  </si>
  <si>
    <t>faq_1_mobile_answer</t>
  </si>
  <si>
    <t>답변 1 · 모바일</t>
  </si>
  <si>
    <t>상담은 가입 신청이 아닙니다. 설명을 듣고 충분히 검토한 뒤 결정하세요.</t>
  </si>
  <si>
    <t>공백 포함 80자 이내. PC 문구의 조건·주의사항은 유지하세요. 비우면 PC 원문을 사용합니다.</t>
  </si>
  <si>
    <t>faq_2_question</t>
  </si>
  <si>
    <t>질문 2</t>
  </si>
  <si>
    <t>기존 보험도 점검할 수 있나요?</t>
  </si>
  <si>
    <t>faq_2_answer</t>
  </si>
  <si>
    <t>답변 2 · PC</t>
  </si>
  <si>
    <t>가능합니다. 가입 내역을 기준으로 중복되거나 부족해 보이는 부분을 함께 살펴봅니다.</t>
  </si>
  <si>
    <t>faq_2_mobile_answer</t>
  </si>
  <si>
    <t>답변 2 · 모바일</t>
  </si>
  <si>
    <t>가입 내역을 바탕으로 보장 범위와 조건을 함께 확인합니다.</t>
  </si>
  <si>
    <t>faq_3_question</t>
  </si>
  <si>
    <t>질문 3</t>
  </si>
  <si>
    <t>비대면 상담이 가능한가요?</t>
  </si>
  <si>
    <t>faq_3_answer</t>
  </si>
  <si>
    <t>답변 3 · PC</t>
  </si>
  <si>
    <t>전화나 온라인 방식으로 상담할 수 있습니다.</t>
  </si>
  <si>
    <t>faq_3_mobile_answer</t>
  </si>
  <si>
    <t>답변 3 · 모바일</t>
  </si>
  <si>
    <t>전화·온라인으로 상담 일정을 조율할 수 있습니다.</t>
  </si>
  <si>
    <t>faq_4_question</t>
  </si>
  <si>
    <t>질문 4</t>
  </si>
  <si>
    <t>상담 시간은 얼마나 걸리나요?</t>
  </si>
  <si>
    <t>faq_4_answer</t>
  </si>
  <si>
    <t>답변 4 · PC</t>
  </si>
  <si>
    <t>상담 범위에 따라 다르며 일정을 조율해 안내드립니다.</t>
  </si>
  <si>
    <t>faq_4_mobile_answer</t>
  </si>
  <si>
    <t>답변 4 · 모바일</t>
  </si>
  <si>
    <t>상담 주제와 범위에 따라 일정 조율 시 안내드립니다.</t>
  </si>
  <si>
    <t>연락처</t>
  </si>
  <si>
    <t>phone</t>
  </si>
  <si>
    <t>전화번호</t>
  </si>
  <si>
    <t>010-1234-5678</t>
  </si>
  <si>
    <t>모바일 전화 버튼에 사용됩니다.</t>
  </si>
  <si>
    <t>kakao_url</t>
  </si>
  <si>
    <t>카카오톡 상담 URL</t>
  </si>
  <si>
    <t>https://pf.kakao.com/_example/chat</t>
  </si>
  <si>
    <t>전체 https 주소를 입력하세요.</t>
  </si>
  <si>
    <t>email</t>
  </si>
  <si>
    <t>이메일</t>
  </si>
  <si>
    <t>hello@example.com</t>
  </si>
  <si>
    <t>office_address</t>
  </si>
  <si>
    <t>상담 사무실 주소</t>
  </si>
  <si>
    <t>대전광역시 서구 둔산로 00, 0층</t>
  </si>
  <si>
    <t>공개 가능한 주소만 입력하세요.</t>
  </si>
  <si>
    <t>map_url</t>
  </si>
  <si>
    <t>지도 링크</t>
  </si>
  <si>
    <t>https://map.naver.com/...</t>
  </si>
  <si>
    <t>available_hours</t>
  </si>
  <si>
    <t>상담 가능 시간</t>
  </si>
  <si>
    <t>평일 09:00~19:00 / 토요일 예약 상담</t>
  </si>
  <si>
    <t>실제 응대 가능한 시간을 입력하세요.</t>
  </si>
  <si>
    <t>화면 구성</t>
  </si>
  <si>
    <t>show_career</t>
  </si>
  <si>
    <t>경력 영역 표시</t>
  </si>
  <si>
    <t>예</t>
  </si>
  <si>
    <t>show_process</t>
  </si>
  <si>
    <t>상담 절차 표시</t>
  </si>
  <si>
    <t>show_faq</t>
  </si>
  <si>
    <t>FAQ 표시</t>
  </si>
  <si>
    <t>show_location</t>
  </si>
  <si>
    <t>주소/지도 표시</t>
  </si>
  <si>
    <t>show_contact_form</t>
  </si>
  <si>
    <t>상담 신청 폼 표시</t>
  </si>
  <si>
    <t>데모 사이트에서는 제출 내용이 저장되지 않습니다.</t>
  </si>
  <si>
    <t>검색/공유</t>
  </si>
  <si>
    <t>seo_title</t>
  </si>
  <si>
    <t>검색 제목</t>
  </si>
  <si>
    <t>김하늘 보험설계사 | 대전·세종 보험 상담</t>
  </si>
  <si>
    <t>약 30~45자를 권장합니다.</t>
  </si>
  <si>
    <t>seo_description</t>
  </si>
  <si>
    <t>검색 설명</t>
  </si>
  <si>
    <t>대전·세종 지역에서 기존 보험 점검과 생애주기별 상담을 이해하기 쉽게 제공합니다.</t>
  </si>
  <si>
    <t>약 70~120자를 권장합니다.</t>
  </si>
  <si>
    <t>og_image_filename</t>
  </si>
  <si>
    <t>공유 이미지 파일명</t>
  </si>
  <si>
    <t>og-image.jpg</t>
  </si>
  <si>
    <t>권장 비율 1.91:1. 같은 폴더에 제출하세요.</t>
  </si>
  <si>
    <t>준법/동의</t>
  </si>
  <si>
    <t>advertising_review_status</t>
  </si>
  <si>
    <t>광고심의 상태</t>
  </si>
  <si>
    <t>pending</t>
  </si>
  <si>
    <t>실제 게시 전 소속 회사/GA 기준으로 확인하세요.</t>
  </si>
  <si>
    <t>advertising_review_number</t>
  </si>
  <si>
    <t>광고심의 번호</t>
  </si>
  <si>
    <t>준법감시인 심의필 제2026-0000호</t>
  </si>
  <si>
    <t>승인받은 정확한 문구를 입력하세요.</t>
  </si>
  <si>
    <t>advertising_review_expires_at</t>
  </si>
  <si>
    <t>광고심의 유효기한</t>
  </si>
  <si>
    <t>2027-08-31</t>
  </si>
  <si>
    <t>YYYY-MM-DD 형식입니다.</t>
  </si>
  <si>
    <t>footer_disclaimer</t>
  </si>
  <si>
    <t>하단 고지 문구</t>
  </si>
  <si>
    <t>보험계약 체결 전 상품설명서 및 약관을 확인하시기 바랍니다. 본 페이지는 예시용이며 특정 상품의 가입을 권유하지 않습니다.</t>
  </si>
  <si>
    <t>소속 회사의 승인 문구로 교체합니다.</t>
  </si>
  <si>
    <t>privacy_officer</t>
  </si>
  <si>
    <t>개인정보 담당자/연락처</t>
  </si>
  <si>
    <t>김하늘 / 010-1234-5678</t>
  </si>
  <si>
    <t>개인정보처리방침에 표시됩니다.</t>
  </si>
  <si>
    <t>privacy_retention_period</t>
  </si>
  <si>
    <t>상담정보 보유기간</t>
  </si>
  <si>
    <t>상담 종료 후 3개월 또는 동의 철회 시까지</t>
  </si>
  <si>
    <t>실제 운영 방침과 일치해야 합니다.</t>
  </si>
  <si>
    <t>content_truth_confirmed</t>
  </si>
  <si>
    <t>기재 내용 사실 확인</t>
  </si>
  <si>
    <t>아니오</t>
  </si>
  <si>
    <t>모든 경력·소속·연락처가 사실과 일치할 때 예를 선택하세요.</t>
  </si>
  <si>
    <t>photo_use_confirmed</t>
  </si>
  <si>
    <t>사진/로고 사용권 확인</t>
  </si>
  <si>
    <t>제출한 사진과 로고를 홈페이지에 사용할 권한이 있을 때 예를 선택하세요.</t>
  </si>
  <si>
    <t>publication_confirmed</t>
  </si>
  <si>
    <t>홈페이지 게시 동의</t>
  </si>
  <si>
    <t>입력 정보의 웹 공개에 동의할 때 예를 선택하세요.</t>
  </si>
  <si>
    <t>5가지 배치 · 6가지 색상</t>
  </si>
  <si>
    <t>배치와 색상을 별도로 고릅니다. 시안 비교 도구는 실제 소개 페이지와 구분해 최상단에 표시합니다.</t>
  </si>
  <si>
    <t>템플릿 값</t>
  </si>
  <si>
    <t>배치 이름</t>
  </si>
  <si>
    <t>어떤 내용에 맞나요?</t>
  </si>
  <si>
    <t>페이지에서 강조할 내용</t>
  </si>
  <si>
    <t>신뢰의 기준</t>
  </si>
  <si>
    <t>소개와 상담 분야를 고르게 안내</t>
  </si>
  <si>
    <t>인물 소개 → 상담 분야 → 절차 → 문의</t>
  </si>
  <si>
    <t>warm-care</t>
  </si>
  <si>
    <t>사람과 대화</t>
  </si>
  <si>
    <t>상담 원칙과 가족의 상황을 전달</t>
  </si>
  <si>
    <t>상담자의 원칙과 고객이 준비할 질문</t>
  </si>
  <si>
    <t>premium-navy</t>
  </si>
  <si>
    <t>선택의 기준</t>
  </si>
  <si>
    <t>가입 전에 확인할 기준을 설명</t>
  </si>
  <si>
    <t>보장 범위·유지할 예산·계약 조건</t>
  </si>
  <si>
    <t>clean-minimal</t>
  </si>
  <si>
    <t>한 장의 정리</t>
  </si>
  <si>
    <t>가입 내역을 항목별로 안내</t>
  </si>
  <si>
    <t>자료 확인 → 항목 정리 → 질문 기록</t>
  </si>
  <si>
    <t>local-friendly</t>
  </si>
  <si>
    <t>바로 묻는 상담</t>
  </si>
  <si>
    <t>주제를 고르고 쉬운 문의로 연결</t>
  </si>
  <si>
    <t>질문 선택과 다음 행동을 명확하게</t>
  </si>
  <si>
    <t>색상은 배치와 독립적으로 비교합니다</t>
  </si>
  <si>
    <t>navy / forest</t>
  </si>
  <si>
    <t>네이비 / 포레스트</t>
  </si>
  <si>
    <t>slate / charcoal</t>
  </si>
  <si>
    <t>슬레이트 / 차콜</t>
  </si>
  <si>
    <t>teal / stone</t>
  </si>
  <si>
    <t>틸 / 스톤</t>
  </si>
  <si>
    <t>색상 선택</t>
  </si>
  <si>
    <t>샘플 도구에서 30가지 조합을 비교하세요.</t>
  </si>
  <si>
    <t>문구 검수</t>
  </si>
  <si>
    <t>모바일 우선 확인</t>
  </si>
  <si>
    <t>CTA는 행동을 구체적으로</t>
  </si>
  <si>
    <t>예: 상담 분야 보기 / 상담 요청하기. 12자 이내를 권장합니다.</t>
  </si>
  <si>
    <t>제출 전 자동 확인</t>
  </si>
  <si>
    <t>필수값·동의 상태를 확인한 뒤 엑셀과 이미지 파일을 함께 제출해 주세요.</t>
  </si>
  <si>
    <t>검사 항목</t>
  </si>
  <si>
    <t>결과</t>
  </si>
  <si>
    <t>설명</t>
  </si>
  <si>
    <t>전체 필수 항목 수</t>
  </si>
  <si>
    <t>작성해야 할 필수 항목 수입니다.</t>
  </si>
  <si>
    <t>비어 있는 필수 항목</t>
  </si>
  <si>
    <t>0이어야 제출 가능합니다.</t>
  </si>
  <si>
    <t>‘예’여야 실제 게시할 수 있습니다.</t>
  </si>
  <si>
    <t>실제 게시 전 소속 회사/GA 기준을 확인합니다.</t>
  </si>
  <si>
    <t>필수값과 동의 확인 결과</t>
  </si>
  <si>
    <t>최종 검수는 가져오기와 미리보기에서 진행합니다</t>
  </si>
  <si>
    <t>문구 길이</t>
  </si>
  <si>
    <t>H열 기준 확인</t>
  </si>
  <si>
    <t>PC와 모바일 문구가 각각 기준 이내인지 가져오기에서 검증합니다. 초과하면 항목명과 현재 글자수를 알려줍니다.</t>
  </si>
  <si>
    <t>첨부 파일</t>
  </si>
  <si>
    <t>사진 파일명 일치</t>
  </si>
  <si>
    <t>엑셀에 적은 파일명과 같은 이름으로 이미지를 함께 제출합니다.</t>
  </si>
  <si>
    <t>준법과 개인정보</t>
  </si>
  <si>
    <t>필수 고지 유지</t>
  </si>
  <si>
    <t>모바일 문구에도 조건과 주의사항을 남기고 개인정보 처리 내용은 실제 운영 방식과 맞춥니다.</t>
  </si>
  <si>
    <t>제출할 파일</t>
  </si>
  <si>
    <t>엑셀 + 프로필 사진</t>
  </si>
  <si>
    <t>예: 김하늘_홈페이지자료.xlsx / profile.jpg / logo.png(선택)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</si>
</sst>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&quot;자 이내&quot;"/>
  </numFmts>
  <fonts count="12" x14ac:knownFonts="1">
    <font>
      <color theme="1"/>
      <family val="2"/>
      <scheme val="minor"/>
      <sz val="11"/>
      <name val="Calibri"/>
    </font>
    <font>
      <b/>
      <color rgb="FFFFFF"/>
      <sz val="21"/>
      <name val="맑은 고딕"/>
    </font>
    <font>
      <color rgb="DCE8F3"/>
      <sz val="11"/>
      <name val="맑은 고딕"/>
    </font>
    <font>
      <b/>
      <color rgb="FFFFFF"/>
      <sz val="11"/>
      <name val="맑은 고딕"/>
    </font>
    <font>
      <color rgb="18324A"/>
      <sz val="11"/>
      <name val="맑은 고딕"/>
    </font>
    <font>
      <b/>
      <color rgb="18324A"/>
      <sz val="11"/>
      <name val="맑은 고딕"/>
    </font>
    <font>
      <color rgb="526477"/>
      <sz val="9"/>
      <name val="맑은 고딕"/>
    </font>
    <font>
      <color rgb="526477"/>
      <sz val="10"/>
      <name val="맑은 고딕"/>
    </font>
    <font>
      <b/>
      <color rgb="526477"/>
      <sz val="10"/>
      <name val="맑은 고딕"/>
    </font>
    <font>
      <i/>
      <color rgb="526477"/>
      <sz val="10"/>
      <name val="맑은 고딕"/>
    </font>
    <font>
      <b/>
      <color rgb="B42318"/>
      <sz val="10"/>
      <name val="맑은 고딕"/>
    </font>
    <font>
      <b/>
      <color rgb="B42318"/>
      <sz val="16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18324A"/>
      </patternFill>
    </fill>
    <fill>
      <patternFill patternType="solid">
        <fgColor rgb="2D4864"/>
      </patternFill>
    </fill>
    <fill>
      <patternFill patternType="solid">
        <fgColor rgb="EDF2F6"/>
      </patternFill>
    </fill>
    <fill>
      <patternFill patternType="solid">
        <fgColor rgb="FFF8D8"/>
      </patternFill>
    </fill>
    <fill>
      <patternFill patternType="solid">
        <fgColor rgb="FDECEC"/>
      </patternFill>
    </fill>
  </fills>
  <borders count="2">
    <border>
      <left/>
      <right/>
      <top/>
      <bottom/>
      <diagonal/>
    </border>
    <border>
      <left style="thin">
        <color rgb="D5DEE8"/>
      </left>
      <right style="thin">
        <color rgb="D5DEE8"/>
      </right>
      <top style="thin">
        <color rgb="D5DEE8"/>
      </top>
      <bottom style="thin">
        <color rgb="D5DEE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50"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color rgb="B42318"/>
      </font>
      <fill>
        <patternFill patternType="solid">
          <fgColor rgb="FDECEC"/>
        </patternFill>
      </fill>
    </dxf>
    <dxf>
      <font>
        <b/>
        <color rgb="147D53"/>
      </font>
      <fill>
        <patternFill patternType="solid">
          <fgColor rgb="EAF7F1"/>
        </patternFill>
      </fill>
    </dxf>
    <dxf>
      <font>
        <color rgb="B42318"/>
      </font>
      <fill>
        <patternFill patternType="solid">
          <fgColor rgb="FDEC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5"/>
  <sheetViews>
    <sheetView workbookViewId="0" showGridLines="0">
      <pane ySplit="4" topLeftCell="A5" activePane="bottomLeft" state="frozen"/>
      <selection pane="bottomLeft"/>
    </sheetView>
  </sheetViews>
  <sheetFormatPr defaultRowHeight="32" outlineLevelRow="0" outlineLevelCol="0" x14ac:dyDescent="55" customHeight="1"/>
  <cols>
    <col min="1" max="1" width="24" customWidth="1"/>
    <col min="2" max="2" width="33" customWidth="1"/>
    <col min="3" max="3" width="82" customWidth="1"/>
  </cols>
  <sheetData>
    <row r="1" ht="28" customHeight="1" spans="1:3" x14ac:dyDescent="0.25">
      <c r="A1" s="1" t="s">
        <v>0</v>
      </c>
      <c r="B1" s="1"/>
      <c r="C1" s="1"/>
    </row>
    <row r="2" ht="28" customHeight="1" spans="1:3" x14ac:dyDescent="0.25">
      <c r="A2" s="1"/>
      <c r="B2" s="1"/>
      <c r="C2" s="1"/>
    </row>
    <row r="3" ht="38" customHeight="1" spans="1:3" x14ac:dyDescent="0.25">
      <c r="A3" s="2" t="s">
        <v>1</v>
      </c>
      <c r="B3" s="2"/>
      <c r="C3" s="2"/>
    </row>
    <row r="5" ht="28" customHeight="1" spans="1:3" x14ac:dyDescent="0.25">
      <c r="A5" s="3" t="s">
        <v>2</v>
      </c>
      <c r="B5" s="3"/>
      <c r="C5" s="3"/>
    </row>
    <row r="6" ht="55" customHeight="1" spans="1:3" x14ac:dyDescent="0.25">
      <c r="A6" s="4" t="s">
        <v>3</v>
      </c>
      <c r="B6" s="4" t="s">
        <v>4</v>
      </c>
      <c r="C6" s="4" t="s">
        <v>5</v>
      </c>
    </row>
    <row r="7" ht="55" customHeight="1" spans="1:3" x14ac:dyDescent="0.25">
      <c r="A7" s="4" t="s">
        <v>6</v>
      </c>
      <c r="B7" s="4" t="s">
        <v>7</v>
      </c>
      <c r="C7" s="4" t="s">
        <v>8</v>
      </c>
    </row>
    <row r="8" ht="55" customHeight="1" spans="1:3" x14ac:dyDescent="0.25">
      <c r="A8" s="4" t="s">
        <v>9</v>
      </c>
      <c r="B8" s="4" t="s">
        <v>10</v>
      </c>
      <c r="C8" s="4" t="s">
        <v>11</v>
      </c>
    </row>
    <row r="9" ht="55" customHeight="1" spans="1:3" x14ac:dyDescent="0.25">
      <c r="A9" s="4" t="s">
        <v>12</v>
      </c>
      <c r="B9" s="4" t="s">
        <v>13</v>
      </c>
      <c r="C9" s="4" t="s">
        <v>14</v>
      </c>
    </row>
    <row r="10" ht="55" customHeight="1" spans="1:3" x14ac:dyDescent="0.25">
      <c r="A10" s="4" t="s">
        <v>15</v>
      </c>
      <c r="B10" s="4" t="s">
        <v>16</v>
      </c>
      <c r="C10" s="4" t="s">
        <v>17</v>
      </c>
    </row>
    <row r="12" ht="28" customHeight="1" spans="1:3" x14ac:dyDescent="0.25">
      <c r="A12" s="3" t="s">
        <v>18</v>
      </c>
      <c r="B12" s="3"/>
      <c r="C12" s="3"/>
    </row>
    <row r="13" ht="30" customHeight="1" spans="1:3" x14ac:dyDescent="0.25">
      <c r="A13" s="5" t="s">
        <v>19</v>
      </c>
      <c r="B13" s="5" t="s">
        <v>20</v>
      </c>
      <c r="C13" s="5" t="s">
        <v>21</v>
      </c>
    </row>
    <row r="14" ht="43" customHeight="1" spans="1:3" x14ac:dyDescent="0.25">
      <c r="A14" s="4" t="s">
        <v>22</v>
      </c>
      <c r="B14" s="4" t="s">
        <v>23</v>
      </c>
      <c r="C14" s="4" t="s">
        <v>24</v>
      </c>
    </row>
    <row r="15" ht="43" customHeight="1" spans="1:3" x14ac:dyDescent="0.25">
      <c r="A15" s="4" t="s">
        <v>25</v>
      </c>
      <c r="B15" s="4" t="s">
        <v>26</v>
      </c>
      <c r="C15" s="4" t="s">
        <v>27</v>
      </c>
    </row>
    <row r="16" ht="43" customHeight="1" spans="1:3" x14ac:dyDescent="0.25">
      <c r="A16" s="4" t="s">
        <v>28</v>
      </c>
      <c r="B16" s="4" t="s">
        <v>23</v>
      </c>
      <c r="C16" s="4" t="s">
        <v>29</v>
      </c>
    </row>
    <row r="17" ht="43" customHeight="1" spans="1:3" x14ac:dyDescent="0.25">
      <c r="A17" s="4" t="s">
        <v>30</v>
      </c>
      <c r="B17" s="4" t="s">
        <v>31</v>
      </c>
      <c r="C17" s="4" t="s">
        <v>32</v>
      </c>
    </row>
    <row r="18" ht="43" customHeight="1" spans="1:3" x14ac:dyDescent="0.25">
      <c r="A18" s="4" t="s">
        <v>33</v>
      </c>
      <c r="B18" s="4" t="s">
        <v>34</v>
      </c>
      <c r="C18" s="4" t="s">
        <v>35</v>
      </c>
    </row>
    <row r="19" ht="43" customHeight="1" spans="1:3" x14ac:dyDescent="0.25">
      <c r="A19" s="4" t="s">
        <v>36</v>
      </c>
      <c r="B19" s="4" t="s">
        <v>37</v>
      </c>
      <c r="C19" s="4" t="s">
        <v>38</v>
      </c>
    </row>
    <row r="21" ht="28" customHeight="1" spans="1:3" x14ac:dyDescent="0.25">
      <c r="A21" s="3" t="s">
        <v>39</v>
      </c>
      <c r="B21" s="3"/>
      <c r="C21" s="3"/>
    </row>
    <row r="22" ht="58" customHeight="1" spans="1:3" x14ac:dyDescent="0.25">
      <c r="A22" s="4" t="s">
        <v>40</v>
      </c>
      <c r="B22" s="4" t="s">
        <v>41</v>
      </c>
      <c r="C22" s="4" t="s">
        <v>42</v>
      </c>
    </row>
    <row r="23" ht="58" customHeight="1" spans="1:3" x14ac:dyDescent="0.25">
      <c r="A23" s="4" t="s">
        <v>43</v>
      </c>
      <c r="B23" s="4" t="s">
        <v>44</v>
      </c>
      <c r="C23" s="4" t="s">
        <v>45</v>
      </c>
    </row>
    <row r="24" ht="58" customHeight="1" spans="1:3" x14ac:dyDescent="0.25">
      <c r="A24" s="4" t="s">
        <v>46</v>
      </c>
      <c r="B24" s="4" t="s">
        <v>47</v>
      </c>
      <c r="C24" s="4" t="s">
        <v>48</v>
      </c>
    </row>
    <row r="25" ht="58" customHeight="1" spans="1:3" x14ac:dyDescent="0.25">
      <c r="A25" s="4" t="s">
        <v>49</v>
      </c>
      <c r="B25" s="4" t="s">
        <v>50</v>
      </c>
      <c r="C25" s="4" t="s">
        <v>51</v>
      </c>
    </row>
  </sheetData>
  <mergeCells count="5">
    <mergeCell ref="A1:C2"/>
    <mergeCell ref="A3:C3"/>
    <mergeCell ref="A5:C5"/>
    <mergeCell ref="A12:C12"/>
    <mergeCell ref="A21:C2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13"/>
  <sheetViews>
    <sheetView workbookViewId="0" showGridLines="0">
      <pane xSplit="4" ySplit="4" topLeftCell="E5" activePane="bottomRight" state="frozen"/>
      <selection pane="bottomRight"/>
    </sheetView>
  </sheetViews>
  <sheetFormatPr defaultRowHeight="32" outlineLevelRow="0" outlineLevelCol="0" x14ac:dyDescent="55" customHeight="1"/>
  <cols>
    <col min="1" max="1" width="16" customWidth="1"/>
    <col min="2" max="2" width="18" customWidth="1"/>
    <col min="3" max="3" width="29" customWidth="1"/>
    <col min="4" max="4" width="8" customWidth="1"/>
    <col min="5" max="6" width="44" customWidth="1"/>
    <col min="7" max="7" width="58" customWidth="1"/>
    <col min="8" max="8" width="16" customWidth="1"/>
  </cols>
  <sheetData>
    <row r="1" ht="28" customHeight="1" spans="1:8" x14ac:dyDescent="0.25">
      <c r="A1" s="1" t="s">
        <v>52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1"/>
      <c r="B2" s="1"/>
      <c r="C2" s="1"/>
      <c r="D2" s="1"/>
      <c r="E2" s="1"/>
      <c r="F2" s="1"/>
      <c r="G2" s="1"/>
      <c r="H2" s="1"/>
    </row>
    <row r="3" ht="38" customHeight="1" spans="1:8" x14ac:dyDescent="0.25">
      <c r="A3" s="2" t="s">
        <v>53</v>
      </c>
      <c r="B3" s="2"/>
      <c r="C3" s="2"/>
      <c r="D3" s="2"/>
      <c r="E3" s="2"/>
      <c r="F3" s="2"/>
      <c r="G3" s="2"/>
      <c r="H3" s="2"/>
    </row>
    <row r="4" ht="34" customHeight="1" spans="1:8" x14ac:dyDescent="0.25">
      <c r="A4" s="5" t="s">
        <v>54</v>
      </c>
      <c r="B4" s="5" t="s">
        <v>55</v>
      </c>
      <c r="C4" s="5" t="s">
        <v>56</v>
      </c>
      <c r="D4" s="5" t="s">
        <v>57</v>
      </c>
      <c r="E4" s="5" t="s">
        <v>58</v>
      </c>
      <c r="F4" s="5" t="s">
        <v>59</v>
      </c>
      <c r="G4" s="5" t="s">
        <v>60</v>
      </c>
      <c r="H4" s="5" t="s">
        <v>61</v>
      </c>
    </row>
    <row r="5" ht="28" customHeight="1" spans="1:8" x14ac:dyDescent="0.25">
      <c r="A5" s="3" t="s">
        <v>4</v>
      </c>
      <c r="B5" s="3"/>
      <c r="C5" s="3"/>
      <c r="D5" s="3"/>
      <c r="E5" s="3"/>
      <c r="F5" s="3"/>
      <c r="G5" s="3"/>
      <c r="H5" s="3"/>
    </row>
    <row r="6" ht="98" customHeight="1" spans="1:8" x14ac:dyDescent="0.25">
      <c r="A6" s="6" t="s">
        <v>62</v>
      </c>
      <c r="B6" s="7" t="s">
        <v>4</v>
      </c>
      <c r="C6" s="8" t="s">
        <v>63</v>
      </c>
      <c r="D6" s="9" t="s">
        <v>64</v>
      </c>
      <c r="E6" s="10" t="s">
        <v>65</v>
      </c>
      <c r="F6" s="11" t="s">
        <v>66</v>
      </c>
      <c r="G6" s="12" t="s">
        <v>67</v>
      </c>
      <c r="H6" s="13">
        <v>100</v>
      </c>
    </row>
    <row r="7" ht="82" customHeight="1" spans="1:8" x14ac:dyDescent="0.25">
      <c r="A7" s="6" t="s">
        <v>68</v>
      </c>
      <c r="B7" s="7" t="s">
        <v>4</v>
      </c>
      <c r="C7" s="8" t="s">
        <v>69</v>
      </c>
      <c r="D7" s="9" t="s">
        <v>64</v>
      </c>
      <c r="E7" s="10" t="s">
        <v>65</v>
      </c>
      <c r="F7" s="11" t="s">
        <v>70</v>
      </c>
      <c r="G7" s="12" t="s">
        <v>71</v>
      </c>
      <c r="H7" s="13">
        <v>80</v>
      </c>
    </row>
    <row r="8" ht="68" customHeight="1" spans="1:8" x14ac:dyDescent="0.25">
      <c r="A8" s="6" t="s">
        <v>72</v>
      </c>
      <c r="B8" s="7" t="s">
        <v>4</v>
      </c>
      <c r="C8" s="8" t="s">
        <v>73</v>
      </c>
      <c r="D8" s="9" t="s">
        <v>64</v>
      </c>
      <c r="E8" s="10" t="s">
        <v>65</v>
      </c>
      <c r="F8" s="11" t="s">
        <v>74</v>
      </c>
      <c r="G8" s="12" t="s">
        <v>75</v>
      </c>
      <c r="H8" s="13">
        <v>60</v>
      </c>
    </row>
    <row r="9" ht="28" customHeight="1" spans="1:8" x14ac:dyDescent="0.25">
      <c r="A9" s="3" t="s">
        <v>76</v>
      </c>
      <c r="B9" s="3"/>
      <c r="C9" s="3"/>
      <c r="D9" s="3"/>
      <c r="E9" s="3"/>
      <c r="F9" s="3"/>
      <c r="G9" s="3"/>
      <c r="H9" s="3"/>
    </row>
    <row r="10" ht="74" customHeight="1" spans="1:8" x14ac:dyDescent="0.25">
      <c r="A10" s="6" t="s">
        <v>77</v>
      </c>
      <c r="B10" s="7" t="s">
        <v>76</v>
      </c>
      <c r="C10" s="8" t="s">
        <v>78</v>
      </c>
      <c r="D10" s="9" t="s">
        <v>64</v>
      </c>
      <c r="E10" s="10" t="s">
        <v>65</v>
      </c>
      <c r="F10" s="11" t="s">
        <v>79</v>
      </c>
      <c r="G10" s="12" t="s">
        <v>80</v>
      </c>
      <c r="H10" s="14" t="s">
        <v>81</v>
      </c>
    </row>
    <row r="11" ht="74" customHeight="1" spans="1:8" x14ac:dyDescent="0.25">
      <c r="A11" s="6" t="s">
        <v>82</v>
      </c>
      <c r="B11" s="7" t="s">
        <v>76</v>
      </c>
      <c r="C11" s="8" t="s">
        <v>83</v>
      </c>
      <c r="D11" s="15" t="s">
        <v>57</v>
      </c>
      <c r="E11" s="10" t="s">
        <v>84</v>
      </c>
      <c r="F11" s="11" t="s">
        <v>84</v>
      </c>
      <c r="G11" s="12" t="s">
        <v>85</v>
      </c>
      <c r="H11" s="14" t="s">
        <v>81</v>
      </c>
    </row>
    <row r="12" ht="74" customHeight="1" spans="1:8" x14ac:dyDescent="0.25">
      <c r="A12" s="6" t="s">
        <v>86</v>
      </c>
      <c r="B12" s="7" t="s">
        <v>76</v>
      </c>
      <c r="C12" s="8" t="s">
        <v>87</v>
      </c>
      <c r="D12" s="9" t="s">
        <v>64</v>
      </c>
      <c r="E12" s="10" t="s">
        <v>65</v>
      </c>
      <c r="F12" s="11" t="s">
        <v>88</v>
      </c>
      <c r="G12" s="12" t="s">
        <v>89</v>
      </c>
      <c r="H12" s="14" t="s">
        <v>81</v>
      </c>
    </row>
    <row r="13" ht="74" customHeight="1" spans="1:8" x14ac:dyDescent="0.25">
      <c r="A13" s="6" t="s">
        <v>90</v>
      </c>
      <c r="B13" s="7" t="s">
        <v>76</v>
      </c>
      <c r="C13" s="8" t="s">
        <v>91</v>
      </c>
      <c r="D13" s="9" t="s">
        <v>64</v>
      </c>
      <c r="E13" s="10" t="s">
        <v>65</v>
      </c>
      <c r="F13" s="11" t="s">
        <v>92</v>
      </c>
      <c r="G13" s="12" t="s">
        <v>93</v>
      </c>
      <c r="H13" s="14" t="s">
        <v>81</v>
      </c>
    </row>
    <row r="14" ht="74" customHeight="1" spans="1:8" x14ac:dyDescent="0.25">
      <c r="A14" s="6" t="s">
        <v>94</v>
      </c>
      <c r="B14" s="7" t="s">
        <v>76</v>
      </c>
      <c r="C14" s="8" t="s">
        <v>95</v>
      </c>
      <c r="D14" s="15" t="s">
        <v>57</v>
      </c>
      <c r="E14" s="10" t="s">
        <v>96</v>
      </c>
      <c r="F14" s="11" t="s">
        <v>96</v>
      </c>
      <c r="G14" s="12" t="s">
        <v>97</v>
      </c>
      <c r="H14" s="14" t="s">
        <v>81</v>
      </c>
    </row>
    <row r="15" ht="74" customHeight="1" spans="1:8" x14ac:dyDescent="0.25">
      <c r="A15" s="6" t="s">
        <v>98</v>
      </c>
      <c r="B15" s="7" t="s">
        <v>76</v>
      </c>
      <c r="C15" s="8" t="s">
        <v>99</v>
      </c>
      <c r="D15" s="9" t="s">
        <v>64</v>
      </c>
      <c r="E15" s="10" t="s">
        <v>100</v>
      </c>
      <c r="F15" s="11" t="s">
        <v>100</v>
      </c>
      <c r="G15" s="12" t="s">
        <v>101</v>
      </c>
      <c r="H15" s="14" t="s">
        <v>81</v>
      </c>
    </row>
    <row r="16" ht="74" customHeight="1" spans="1:8" x14ac:dyDescent="0.25">
      <c r="A16" s="6" t="s">
        <v>102</v>
      </c>
      <c r="B16" s="7" t="s">
        <v>76</v>
      </c>
      <c r="C16" s="8" t="s">
        <v>103</v>
      </c>
      <c r="D16" s="15" t="s">
        <v>57</v>
      </c>
      <c r="E16" s="10" t="s">
        <v>104</v>
      </c>
      <c r="F16" s="11" t="s">
        <v>104</v>
      </c>
      <c r="G16" s="12" t="s">
        <v>105</v>
      </c>
      <c r="H16" s="14" t="s">
        <v>81</v>
      </c>
    </row>
    <row r="17" ht="28" customHeight="1" spans="1:8" x14ac:dyDescent="0.25">
      <c r="A17" s="3" t="s">
        <v>106</v>
      </c>
      <c r="B17" s="3"/>
      <c r="C17" s="3"/>
      <c r="D17" s="3"/>
      <c r="E17" s="3"/>
      <c r="F17" s="3"/>
      <c r="G17" s="3"/>
      <c r="H17" s="3"/>
    </row>
    <row r="18" ht="74" customHeight="1" spans="1:8" x14ac:dyDescent="0.25">
      <c r="A18" s="6" t="s">
        <v>107</v>
      </c>
      <c r="B18" s="7" t="s">
        <v>106</v>
      </c>
      <c r="C18" s="8" t="s">
        <v>108</v>
      </c>
      <c r="D18" s="15" t="s">
        <v>57</v>
      </c>
      <c r="E18" s="10" t="s">
        <v>65</v>
      </c>
      <c r="F18" s="11" t="s">
        <v>109</v>
      </c>
      <c r="G18" s="12" t="s">
        <v>110</v>
      </c>
      <c r="H18" s="14" t="s">
        <v>81</v>
      </c>
    </row>
    <row r="19" ht="74" customHeight="1" spans="1:8" x14ac:dyDescent="0.25">
      <c r="A19" s="6" t="s">
        <v>111</v>
      </c>
      <c r="B19" s="7" t="s">
        <v>106</v>
      </c>
      <c r="C19" s="8" t="s">
        <v>112</v>
      </c>
      <c r="D19" s="15" t="s">
        <v>57</v>
      </c>
      <c r="E19" s="10" t="s">
        <v>113</v>
      </c>
      <c r="F19" s="11" t="s">
        <v>114</v>
      </c>
      <c r="G19" s="12" t="s">
        <v>115</v>
      </c>
      <c r="H19" s="14" t="s">
        <v>81</v>
      </c>
    </row>
    <row r="20" ht="74" customHeight="1" spans="1:8" x14ac:dyDescent="0.25">
      <c r="A20" s="6" t="s">
        <v>116</v>
      </c>
      <c r="B20" s="7" t="s">
        <v>106</v>
      </c>
      <c r="C20" s="8" t="s">
        <v>117</v>
      </c>
      <c r="D20" s="15" t="s">
        <v>57</v>
      </c>
      <c r="E20" s="10" t="s">
        <v>65</v>
      </c>
      <c r="F20" s="11" t="s">
        <v>118</v>
      </c>
      <c r="G20" s="12" t="s">
        <v>119</v>
      </c>
      <c r="H20" s="14" t="s">
        <v>81</v>
      </c>
    </row>
    <row r="21" ht="74" customHeight="1" spans="1:8" x14ac:dyDescent="0.25">
      <c r="A21" s="6" t="s">
        <v>120</v>
      </c>
      <c r="B21" s="7" t="s">
        <v>106</v>
      </c>
      <c r="C21" s="8" t="s">
        <v>121</v>
      </c>
      <c r="D21" s="9" t="s">
        <v>64</v>
      </c>
      <c r="E21" s="10" t="s">
        <v>65</v>
      </c>
      <c r="F21" s="11" t="s">
        <v>122</v>
      </c>
      <c r="G21" s="12" t="s">
        <v>123</v>
      </c>
      <c r="H21" s="14" t="s">
        <v>81</v>
      </c>
    </row>
    <row r="22" ht="74" customHeight="1" spans="1:8" x14ac:dyDescent="0.25">
      <c r="A22" s="6" t="s">
        <v>124</v>
      </c>
      <c r="B22" s="7" t="s">
        <v>106</v>
      </c>
      <c r="C22" s="8" t="s">
        <v>125</v>
      </c>
      <c r="D22" s="9" t="s">
        <v>64</v>
      </c>
      <c r="E22" s="10" t="s">
        <v>65</v>
      </c>
      <c r="F22" s="11" t="s">
        <v>126</v>
      </c>
      <c r="G22" s="12" t="s">
        <v>127</v>
      </c>
      <c r="H22" s="14" t="s">
        <v>81</v>
      </c>
    </row>
    <row r="23" ht="74" customHeight="1" spans="1:8" x14ac:dyDescent="0.25">
      <c r="A23" s="6" t="s">
        <v>128</v>
      </c>
      <c r="B23" s="7" t="s">
        <v>106</v>
      </c>
      <c r="C23" s="8" t="s">
        <v>129</v>
      </c>
      <c r="D23" s="9" t="s">
        <v>64</v>
      </c>
      <c r="E23" s="10" t="s">
        <v>65</v>
      </c>
      <c r="F23" s="11" t="s">
        <v>130</v>
      </c>
      <c r="G23" s="12" t="s">
        <v>131</v>
      </c>
      <c r="H23" s="14" t="s">
        <v>81</v>
      </c>
    </row>
    <row r="24" ht="74" customHeight="1" spans="1:8" x14ac:dyDescent="0.25">
      <c r="A24" s="6" t="s">
        <v>132</v>
      </c>
      <c r="B24" s="7" t="s">
        <v>106</v>
      </c>
      <c r="C24" s="8" t="s">
        <v>133</v>
      </c>
      <c r="D24" s="15" t="s">
        <v>57</v>
      </c>
      <c r="E24" s="10" t="s">
        <v>65</v>
      </c>
      <c r="F24" s="11" t="s">
        <v>134</v>
      </c>
      <c r="G24" s="12" t="s">
        <v>135</v>
      </c>
      <c r="H24" s="14" t="s">
        <v>81</v>
      </c>
    </row>
    <row r="25" ht="74" customHeight="1" spans="1:8" x14ac:dyDescent="0.25">
      <c r="A25" s="6" t="s">
        <v>136</v>
      </c>
      <c r="B25" s="7" t="s">
        <v>106</v>
      </c>
      <c r="C25" s="8" t="s">
        <v>137</v>
      </c>
      <c r="D25" s="15" t="s">
        <v>57</v>
      </c>
      <c r="E25" s="10" t="s">
        <v>65</v>
      </c>
      <c r="F25" s="11" t="s">
        <v>138</v>
      </c>
      <c r="G25" s="12" t="s">
        <v>139</v>
      </c>
      <c r="H25" s="14" t="s">
        <v>81</v>
      </c>
    </row>
    <row r="26" ht="74" customHeight="1" spans="1:8" x14ac:dyDescent="0.25">
      <c r="A26" s="6" t="s">
        <v>140</v>
      </c>
      <c r="B26" s="7" t="s">
        <v>106</v>
      </c>
      <c r="C26" s="8" t="s">
        <v>141</v>
      </c>
      <c r="D26" s="9" t="s">
        <v>64</v>
      </c>
      <c r="E26" s="10" t="s">
        <v>65</v>
      </c>
      <c r="F26" s="11" t="s">
        <v>142</v>
      </c>
      <c r="G26" s="12" t="s">
        <v>143</v>
      </c>
      <c r="H26" s="14" t="s">
        <v>81</v>
      </c>
    </row>
    <row r="27" ht="28" customHeight="1" spans="1:8" x14ac:dyDescent="0.25">
      <c r="A27" s="3" t="s">
        <v>144</v>
      </c>
      <c r="B27" s="3"/>
      <c r="C27" s="3"/>
      <c r="D27" s="3"/>
      <c r="E27" s="3"/>
      <c r="F27" s="3"/>
      <c r="G27" s="3"/>
      <c r="H27" s="3"/>
    </row>
    <row r="28" ht="74" customHeight="1" spans="1:8" x14ac:dyDescent="0.25">
      <c r="A28" s="6" t="s">
        <v>145</v>
      </c>
      <c r="B28" s="7" t="s">
        <v>144</v>
      </c>
      <c r="C28" s="8" t="s">
        <v>146</v>
      </c>
      <c r="D28" s="9" t="s">
        <v>64</v>
      </c>
      <c r="E28" s="10" t="s">
        <v>147</v>
      </c>
      <c r="F28" s="11" t="s">
        <v>148</v>
      </c>
      <c r="G28" s="12" t="s">
        <v>149</v>
      </c>
      <c r="H28" s="14" t="s">
        <v>81</v>
      </c>
    </row>
    <row r="29" ht="68" customHeight="1" spans="1:8" x14ac:dyDescent="0.25">
      <c r="A29" s="6" t="s">
        <v>150</v>
      </c>
      <c r="B29" s="7" t="s">
        <v>144</v>
      </c>
      <c r="C29" s="8" t="s">
        <v>151</v>
      </c>
      <c r="D29" s="15" t="s">
        <v>57</v>
      </c>
      <c r="E29" s="10" t="s">
        <v>65</v>
      </c>
      <c r="F29" s="11" t="s">
        <v>152</v>
      </c>
      <c r="G29" s="12" t="s">
        <v>153</v>
      </c>
      <c r="H29" s="13">
        <v>40</v>
      </c>
    </row>
    <row r="30" ht="68" customHeight="1" spans="1:8" x14ac:dyDescent="0.25">
      <c r="A30" s="6" t="s">
        <v>154</v>
      </c>
      <c r="B30" s="7" t="s">
        <v>144</v>
      </c>
      <c r="C30" s="8" t="s">
        <v>155</v>
      </c>
      <c r="D30" s="9" t="s">
        <v>64</v>
      </c>
      <c r="E30" s="10" t="s">
        <v>65</v>
      </c>
      <c r="F30" s="11" t="s">
        <v>156</v>
      </c>
      <c r="G30" s="12" t="s">
        <v>157</v>
      </c>
      <c r="H30" s="13">
        <v>24</v>
      </c>
    </row>
    <row r="31" ht="98" customHeight="1" spans="1:8" x14ac:dyDescent="0.25">
      <c r="A31" s="6" t="s">
        <v>158</v>
      </c>
      <c r="B31" s="7" t="s">
        <v>144</v>
      </c>
      <c r="C31" s="8" t="s">
        <v>159</v>
      </c>
      <c r="D31" s="15" t="s">
        <v>57</v>
      </c>
      <c r="E31" s="10" t="s">
        <v>65</v>
      </c>
      <c r="F31" s="11" t="s">
        <v>160</v>
      </c>
      <c r="G31" s="12" t="s">
        <v>161</v>
      </c>
      <c r="H31" s="13">
        <v>120</v>
      </c>
    </row>
    <row r="32" ht="68" customHeight="1" spans="1:8" x14ac:dyDescent="0.25">
      <c r="A32" s="6" t="s">
        <v>162</v>
      </c>
      <c r="B32" s="7" t="s">
        <v>144</v>
      </c>
      <c r="C32" s="8" t="s">
        <v>163</v>
      </c>
      <c r="D32" s="9" t="s">
        <v>64</v>
      </c>
      <c r="E32" s="10" t="s">
        <v>65</v>
      </c>
      <c r="F32" s="11" t="s">
        <v>164</v>
      </c>
      <c r="G32" s="12" t="s">
        <v>165</v>
      </c>
      <c r="H32" s="13">
        <v>60</v>
      </c>
    </row>
    <row r="33" ht="74" customHeight="1" spans="1:8" x14ac:dyDescent="0.25">
      <c r="A33" s="6" t="s">
        <v>166</v>
      </c>
      <c r="B33" s="7" t="s">
        <v>144</v>
      </c>
      <c r="C33" s="8" t="s">
        <v>167</v>
      </c>
      <c r="D33" s="15" t="s">
        <v>57</v>
      </c>
      <c r="E33" s="10" t="s">
        <v>168</v>
      </c>
      <c r="F33" s="11" t="s">
        <v>168</v>
      </c>
      <c r="G33" s="12" t="s">
        <v>169</v>
      </c>
      <c r="H33" s="14" t="s">
        <v>81</v>
      </c>
    </row>
    <row r="34" ht="74" customHeight="1" spans="1:8" x14ac:dyDescent="0.25">
      <c r="A34" s="6" t="s">
        <v>170</v>
      </c>
      <c r="B34" s="7" t="s">
        <v>144</v>
      </c>
      <c r="C34" s="8" t="s">
        <v>171</v>
      </c>
      <c r="D34" s="15" t="s">
        <v>57</v>
      </c>
      <c r="E34" s="10" t="s">
        <v>172</v>
      </c>
      <c r="F34" s="11" t="s">
        <v>172</v>
      </c>
      <c r="G34" s="12" t="s">
        <v>173</v>
      </c>
      <c r="H34" s="14" t="s">
        <v>81</v>
      </c>
    </row>
    <row r="35" ht="74" customHeight="1" spans="1:8" x14ac:dyDescent="0.25">
      <c r="A35" s="6" t="s">
        <v>174</v>
      </c>
      <c r="B35" s="7" t="s">
        <v>144</v>
      </c>
      <c r="C35" s="8" t="s">
        <v>175</v>
      </c>
      <c r="D35" s="9" t="s">
        <v>64</v>
      </c>
      <c r="E35" s="10" t="s">
        <v>65</v>
      </c>
      <c r="F35" s="11" t="s">
        <v>176</v>
      </c>
      <c r="G35" s="12" t="s">
        <v>177</v>
      </c>
      <c r="H35" s="14" t="s">
        <v>81</v>
      </c>
    </row>
    <row r="36" ht="28" customHeight="1" spans="1:8" x14ac:dyDescent="0.25">
      <c r="A36" s="3" t="s">
        <v>178</v>
      </c>
      <c r="B36" s="3"/>
      <c r="C36" s="3"/>
      <c r="D36" s="3"/>
      <c r="E36" s="3"/>
      <c r="F36" s="3"/>
      <c r="G36" s="3"/>
      <c r="H36" s="3"/>
    </row>
    <row r="37" ht="68" customHeight="1" spans="1:8" x14ac:dyDescent="0.25">
      <c r="A37" s="6" t="s">
        <v>179</v>
      </c>
      <c r="B37" s="7" t="s">
        <v>178</v>
      </c>
      <c r="C37" s="8" t="s">
        <v>180</v>
      </c>
      <c r="D37" s="15" t="s">
        <v>57</v>
      </c>
      <c r="E37" s="10" t="s">
        <v>181</v>
      </c>
      <c r="F37" s="11" t="s">
        <v>182</v>
      </c>
      <c r="G37" s="12" t="s">
        <v>183</v>
      </c>
      <c r="H37" s="13">
        <v>40</v>
      </c>
    </row>
    <row r="38" ht="68" customHeight="1" spans="1:8" x14ac:dyDescent="0.25">
      <c r="A38" s="6" t="s">
        <v>184</v>
      </c>
      <c r="B38" s="7" t="s">
        <v>178</v>
      </c>
      <c r="C38" s="8" t="s">
        <v>185</v>
      </c>
      <c r="D38" s="9" t="s">
        <v>64</v>
      </c>
      <c r="E38" s="10" t="s">
        <v>65</v>
      </c>
      <c r="F38" s="11" t="s">
        <v>186</v>
      </c>
      <c r="G38" s="12" t="s">
        <v>157</v>
      </c>
      <c r="H38" s="13">
        <v>24</v>
      </c>
    </row>
    <row r="39" ht="290" customHeight="1" spans="1:8" x14ac:dyDescent="0.25">
      <c r="A39" s="6" t="s">
        <v>187</v>
      </c>
      <c r="B39" s="7" t="s">
        <v>178</v>
      </c>
      <c r="C39" s="8" t="s">
        <v>188</v>
      </c>
      <c r="D39" s="15" t="s">
        <v>57</v>
      </c>
      <c r="E39" s="10" t="s">
        <v>65</v>
      </c>
      <c r="F39" s="11" t="s">
        <v>189</v>
      </c>
      <c r="G39" s="12" t="s">
        <v>190</v>
      </c>
      <c r="H39" s="13">
        <v>400</v>
      </c>
    </row>
    <row r="40" ht="98" customHeight="1" spans="1:8" x14ac:dyDescent="0.25">
      <c r="A40" s="6" t="s">
        <v>191</v>
      </c>
      <c r="B40" s="7" t="s">
        <v>178</v>
      </c>
      <c r="C40" s="8" t="s">
        <v>192</v>
      </c>
      <c r="D40" s="9" t="s">
        <v>64</v>
      </c>
      <c r="E40" s="10" t="s">
        <v>65</v>
      </c>
      <c r="F40" s="11" t="s">
        <v>193</v>
      </c>
      <c r="G40" s="12" t="s">
        <v>194</v>
      </c>
      <c r="H40" s="13">
        <v>100</v>
      </c>
    </row>
    <row r="41" ht="74" customHeight="1" spans="1:8" x14ac:dyDescent="0.25">
      <c r="A41" s="6" t="s">
        <v>195</v>
      </c>
      <c r="B41" s="7" t="s">
        <v>178</v>
      </c>
      <c r="C41" s="8" t="s">
        <v>196</v>
      </c>
      <c r="D41" s="9" t="s">
        <v>64</v>
      </c>
      <c r="E41" s="10" t="s">
        <v>65</v>
      </c>
      <c r="F41" s="11" t="s">
        <v>197</v>
      </c>
      <c r="G41" s="12" t="s">
        <v>198</v>
      </c>
      <c r="H41" s="14" t="s">
        <v>81</v>
      </c>
    </row>
    <row r="42" ht="28" customHeight="1" spans="1:8" x14ac:dyDescent="0.25">
      <c r="A42" s="3" t="s">
        <v>199</v>
      </c>
      <c r="B42" s="3"/>
      <c r="C42" s="3"/>
      <c r="D42" s="3"/>
      <c r="E42" s="3"/>
      <c r="F42" s="3"/>
      <c r="G42" s="3"/>
      <c r="H42" s="3"/>
    </row>
    <row r="43" ht="74" customHeight="1" spans="1:8" x14ac:dyDescent="0.25">
      <c r="A43" s="6" t="s">
        <v>200</v>
      </c>
      <c r="B43" s="7" t="s">
        <v>199</v>
      </c>
      <c r="C43" s="8" t="s">
        <v>201</v>
      </c>
      <c r="D43" s="15" t="s">
        <v>57</v>
      </c>
      <c r="E43" s="10" t="s">
        <v>65</v>
      </c>
      <c r="F43" s="11" t="s">
        <v>202</v>
      </c>
      <c r="G43" s="12" t="s">
        <v>203</v>
      </c>
      <c r="H43" s="14" t="s">
        <v>81</v>
      </c>
    </row>
    <row r="44" ht="98" customHeight="1" spans="1:8" x14ac:dyDescent="0.25">
      <c r="A44" s="6" t="s">
        <v>204</v>
      </c>
      <c r="B44" s="7" t="s">
        <v>199</v>
      </c>
      <c r="C44" s="8" t="s">
        <v>205</v>
      </c>
      <c r="D44" s="15" t="s">
        <v>57</v>
      </c>
      <c r="E44" s="10" t="s">
        <v>65</v>
      </c>
      <c r="F44" s="11" t="s">
        <v>206</v>
      </c>
      <c r="G44" s="12" t="s">
        <v>207</v>
      </c>
      <c r="H44" s="13">
        <v>120</v>
      </c>
    </row>
    <row r="45" ht="68" customHeight="1" spans="1:8" x14ac:dyDescent="0.25">
      <c r="A45" s="6" t="s">
        <v>208</v>
      </c>
      <c r="B45" s="7" t="s">
        <v>199</v>
      </c>
      <c r="C45" s="8" t="s">
        <v>209</v>
      </c>
      <c r="D45" s="9" t="s">
        <v>64</v>
      </c>
      <c r="E45" s="10" t="s">
        <v>65</v>
      </c>
      <c r="F45" s="11" t="s">
        <v>210</v>
      </c>
      <c r="G45" s="12" t="s">
        <v>211</v>
      </c>
      <c r="H45" s="13">
        <v>48</v>
      </c>
    </row>
    <row r="46" ht="74" customHeight="1" spans="1:8" x14ac:dyDescent="0.25">
      <c r="A46" s="6" t="s">
        <v>212</v>
      </c>
      <c r="B46" s="7" t="s">
        <v>199</v>
      </c>
      <c r="C46" s="8" t="s">
        <v>213</v>
      </c>
      <c r="D46" s="15" t="s">
        <v>57</v>
      </c>
      <c r="E46" s="10" t="s">
        <v>65</v>
      </c>
      <c r="F46" s="11" t="s">
        <v>214</v>
      </c>
      <c r="G46" s="12" t="s">
        <v>65</v>
      </c>
      <c r="H46" s="14" t="s">
        <v>81</v>
      </c>
    </row>
    <row r="47" ht="98" customHeight="1" spans="1:8" x14ac:dyDescent="0.25">
      <c r="A47" s="6" t="s">
        <v>215</v>
      </c>
      <c r="B47" s="7" t="s">
        <v>199</v>
      </c>
      <c r="C47" s="8" t="s">
        <v>216</v>
      </c>
      <c r="D47" s="15" t="s">
        <v>57</v>
      </c>
      <c r="E47" s="10" t="s">
        <v>65</v>
      </c>
      <c r="F47" s="11" t="s">
        <v>217</v>
      </c>
      <c r="G47" s="12" t="s">
        <v>218</v>
      </c>
      <c r="H47" s="13">
        <v>120</v>
      </c>
    </row>
    <row r="48" ht="68" customHeight="1" spans="1:8" x14ac:dyDescent="0.25">
      <c r="A48" s="6" t="s">
        <v>219</v>
      </c>
      <c r="B48" s="7" t="s">
        <v>199</v>
      </c>
      <c r="C48" s="8" t="s">
        <v>220</v>
      </c>
      <c r="D48" s="9" t="s">
        <v>64</v>
      </c>
      <c r="E48" s="10" t="s">
        <v>65</v>
      </c>
      <c r="F48" s="11" t="s">
        <v>221</v>
      </c>
      <c r="G48" s="12" t="s">
        <v>211</v>
      </c>
      <c r="H48" s="13">
        <v>48</v>
      </c>
    </row>
    <row r="49" ht="74" customHeight="1" spans="1:8" x14ac:dyDescent="0.25">
      <c r="A49" s="6" t="s">
        <v>222</v>
      </c>
      <c r="B49" s="7" t="s">
        <v>199</v>
      </c>
      <c r="C49" s="8" t="s">
        <v>223</v>
      </c>
      <c r="D49" s="15" t="s">
        <v>57</v>
      </c>
      <c r="E49" s="10" t="s">
        <v>65</v>
      </c>
      <c r="F49" s="11" t="s">
        <v>224</v>
      </c>
      <c r="G49" s="12" t="s">
        <v>65</v>
      </c>
      <c r="H49" s="14" t="s">
        <v>81</v>
      </c>
    </row>
    <row r="50" ht="98" customHeight="1" spans="1:8" x14ac:dyDescent="0.25">
      <c r="A50" s="6" t="s">
        <v>225</v>
      </c>
      <c r="B50" s="7" t="s">
        <v>199</v>
      </c>
      <c r="C50" s="8" t="s">
        <v>226</v>
      </c>
      <c r="D50" s="15" t="s">
        <v>57</v>
      </c>
      <c r="E50" s="10" t="s">
        <v>65</v>
      </c>
      <c r="F50" s="11" t="s">
        <v>227</v>
      </c>
      <c r="G50" s="12" t="s">
        <v>218</v>
      </c>
      <c r="H50" s="13">
        <v>120</v>
      </c>
    </row>
    <row r="51" ht="68" customHeight="1" spans="1:8" x14ac:dyDescent="0.25">
      <c r="A51" s="6" t="s">
        <v>228</v>
      </c>
      <c r="B51" s="7" t="s">
        <v>199</v>
      </c>
      <c r="C51" s="8" t="s">
        <v>229</v>
      </c>
      <c r="D51" s="9" t="s">
        <v>64</v>
      </c>
      <c r="E51" s="10" t="s">
        <v>65</v>
      </c>
      <c r="F51" s="11" t="s">
        <v>230</v>
      </c>
      <c r="G51" s="12" t="s">
        <v>211</v>
      </c>
      <c r="H51" s="13">
        <v>48</v>
      </c>
    </row>
    <row r="52" ht="74" customHeight="1" spans="1:8" x14ac:dyDescent="0.25">
      <c r="A52" s="6" t="s">
        <v>231</v>
      </c>
      <c r="B52" s="7" t="s">
        <v>199</v>
      </c>
      <c r="C52" s="8" t="s">
        <v>232</v>
      </c>
      <c r="D52" s="9" t="s">
        <v>64</v>
      </c>
      <c r="E52" s="10" t="s">
        <v>65</v>
      </c>
      <c r="F52" s="11" t="s">
        <v>233</v>
      </c>
      <c r="G52" s="12" t="s">
        <v>234</v>
      </c>
      <c r="H52" s="14" t="s">
        <v>81</v>
      </c>
    </row>
    <row r="53" ht="98" customHeight="1" spans="1:8" x14ac:dyDescent="0.25">
      <c r="A53" s="6" t="s">
        <v>235</v>
      </c>
      <c r="B53" s="7" t="s">
        <v>199</v>
      </c>
      <c r="C53" s="8" t="s">
        <v>236</v>
      </c>
      <c r="D53" s="9" t="s">
        <v>64</v>
      </c>
      <c r="E53" s="10" t="s">
        <v>65</v>
      </c>
      <c r="F53" s="11" t="s">
        <v>237</v>
      </c>
      <c r="G53" s="12" t="s">
        <v>218</v>
      </c>
      <c r="H53" s="13">
        <v>120</v>
      </c>
    </row>
    <row r="54" ht="68" customHeight="1" spans="1:8" x14ac:dyDescent="0.25">
      <c r="A54" s="6" t="s">
        <v>238</v>
      </c>
      <c r="B54" s="7" t="s">
        <v>199</v>
      </c>
      <c r="C54" s="8" t="s">
        <v>239</v>
      </c>
      <c r="D54" s="9" t="s">
        <v>64</v>
      </c>
      <c r="E54" s="10" t="s">
        <v>65</v>
      </c>
      <c r="F54" s="11" t="s">
        <v>240</v>
      </c>
      <c r="G54" s="12" t="s">
        <v>211</v>
      </c>
      <c r="H54" s="13">
        <v>48</v>
      </c>
    </row>
    <row r="55" ht="28" customHeight="1" spans="1:8" x14ac:dyDescent="0.25">
      <c r="A55" s="3" t="s">
        <v>241</v>
      </c>
      <c r="B55" s="3"/>
      <c r="C55" s="3"/>
      <c r="D55" s="3"/>
      <c r="E55" s="3"/>
      <c r="F55" s="3"/>
      <c r="G55" s="3"/>
      <c r="H55" s="3"/>
    </row>
    <row r="56" ht="74" customHeight="1" spans="1:8" x14ac:dyDescent="0.25">
      <c r="A56" s="6" t="s">
        <v>242</v>
      </c>
      <c r="B56" s="7" t="s">
        <v>241</v>
      </c>
      <c r="C56" s="8" t="s">
        <v>243</v>
      </c>
      <c r="D56" s="15" t="s">
        <v>57</v>
      </c>
      <c r="E56" s="10" t="s">
        <v>244</v>
      </c>
      <c r="F56" s="11" t="s">
        <v>244</v>
      </c>
      <c r="G56" s="12" t="s">
        <v>65</v>
      </c>
      <c r="H56" s="14" t="s">
        <v>81</v>
      </c>
    </row>
    <row r="57" ht="98" customHeight="1" spans="1:8" x14ac:dyDescent="0.25">
      <c r="A57" s="6" t="s">
        <v>245</v>
      </c>
      <c r="B57" s="7" t="s">
        <v>241</v>
      </c>
      <c r="C57" s="8" t="s">
        <v>246</v>
      </c>
      <c r="D57" s="15" t="s">
        <v>57</v>
      </c>
      <c r="E57" s="10" t="s">
        <v>247</v>
      </c>
      <c r="F57" s="11" t="s">
        <v>247</v>
      </c>
      <c r="G57" s="12" t="s">
        <v>218</v>
      </c>
      <c r="H57" s="13">
        <v>120</v>
      </c>
    </row>
    <row r="58" ht="68" customHeight="1" spans="1:8" x14ac:dyDescent="0.25">
      <c r="A58" s="6" t="s">
        <v>248</v>
      </c>
      <c r="B58" s="7" t="s">
        <v>241</v>
      </c>
      <c r="C58" s="8" t="s">
        <v>249</v>
      </c>
      <c r="D58" s="9" t="s">
        <v>64</v>
      </c>
      <c r="E58" s="10" t="s">
        <v>65</v>
      </c>
      <c r="F58" s="11" t="s">
        <v>250</v>
      </c>
      <c r="G58" s="12" t="s">
        <v>211</v>
      </c>
      <c r="H58" s="13">
        <v>48</v>
      </c>
    </row>
    <row r="59" ht="74" customHeight="1" spans="1:8" x14ac:dyDescent="0.25">
      <c r="A59" s="6" t="s">
        <v>251</v>
      </c>
      <c r="B59" s="7" t="s">
        <v>241</v>
      </c>
      <c r="C59" s="8" t="s">
        <v>252</v>
      </c>
      <c r="D59" s="15" t="s">
        <v>57</v>
      </c>
      <c r="E59" s="10" t="s">
        <v>253</v>
      </c>
      <c r="F59" s="11" t="s">
        <v>253</v>
      </c>
      <c r="G59" s="12" t="s">
        <v>65</v>
      </c>
      <c r="H59" s="14" t="s">
        <v>81</v>
      </c>
    </row>
    <row r="60" ht="98" customHeight="1" spans="1:8" x14ac:dyDescent="0.25">
      <c r="A60" s="6" t="s">
        <v>254</v>
      </c>
      <c r="B60" s="7" t="s">
        <v>241</v>
      </c>
      <c r="C60" s="8" t="s">
        <v>255</v>
      </c>
      <c r="D60" s="15" t="s">
        <v>57</v>
      </c>
      <c r="E60" s="10" t="s">
        <v>256</v>
      </c>
      <c r="F60" s="11" t="s">
        <v>256</v>
      </c>
      <c r="G60" s="12" t="s">
        <v>218</v>
      </c>
      <c r="H60" s="13">
        <v>120</v>
      </c>
    </row>
    <row r="61" ht="68" customHeight="1" spans="1:8" x14ac:dyDescent="0.25">
      <c r="A61" s="6" t="s">
        <v>257</v>
      </c>
      <c r="B61" s="7" t="s">
        <v>241</v>
      </c>
      <c r="C61" s="8" t="s">
        <v>258</v>
      </c>
      <c r="D61" s="9" t="s">
        <v>64</v>
      </c>
      <c r="E61" s="10" t="s">
        <v>65</v>
      </c>
      <c r="F61" s="11" t="s">
        <v>259</v>
      </c>
      <c r="G61" s="12" t="s">
        <v>211</v>
      </c>
      <c r="H61" s="13">
        <v>48</v>
      </c>
    </row>
    <row r="62" ht="74" customHeight="1" spans="1:8" x14ac:dyDescent="0.25">
      <c r="A62" s="6" t="s">
        <v>260</v>
      </c>
      <c r="B62" s="7" t="s">
        <v>241</v>
      </c>
      <c r="C62" s="8" t="s">
        <v>261</v>
      </c>
      <c r="D62" s="15" t="s">
        <v>57</v>
      </c>
      <c r="E62" s="10" t="s">
        <v>262</v>
      </c>
      <c r="F62" s="11" t="s">
        <v>262</v>
      </c>
      <c r="G62" s="12" t="s">
        <v>65</v>
      </c>
      <c r="H62" s="14" t="s">
        <v>81</v>
      </c>
    </row>
    <row r="63" ht="98" customHeight="1" spans="1:8" x14ac:dyDescent="0.25">
      <c r="A63" s="6" t="s">
        <v>263</v>
      </c>
      <c r="B63" s="7" t="s">
        <v>241</v>
      </c>
      <c r="C63" s="8" t="s">
        <v>264</v>
      </c>
      <c r="D63" s="15" t="s">
        <v>57</v>
      </c>
      <c r="E63" s="10" t="s">
        <v>265</v>
      </c>
      <c r="F63" s="11" t="s">
        <v>265</v>
      </c>
      <c r="G63" s="12" t="s">
        <v>218</v>
      </c>
      <c r="H63" s="13">
        <v>120</v>
      </c>
    </row>
    <row r="64" ht="68" customHeight="1" spans="1:8" x14ac:dyDescent="0.25">
      <c r="A64" s="6" t="s">
        <v>266</v>
      </c>
      <c r="B64" s="7" t="s">
        <v>241</v>
      </c>
      <c r="C64" s="8" t="s">
        <v>267</v>
      </c>
      <c r="D64" s="9" t="s">
        <v>64</v>
      </c>
      <c r="E64" s="10" t="s">
        <v>65</v>
      </c>
      <c r="F64" s="11" t="s">
        <v>268</v>
      </c>
      <c r="G64" s="12" t="s">
        <v>211</v>
      </c>
      <c r="H64" s="13">
        <v>48</v>
      </c>
    </row>
    <row r="65" ht="74" customHeight="1" spans="1:8" x14ac:dyDescent="0.25">
      <c r="A65" s="6" t="s">
        <v>269</v>
      </c>
      <c r="B65" s="7" t="s">
        <v>241</v>
      </c>
      <c r="C65" s="8" t="s">
        <v>270</v>
      </c>
      <c r="D65" s="15" t="s">
        <v>57</v>
      </c>
      <c r="E65" s="10" t="s">
        <v>271</v>
      </c>
      <c r="F65" s="11" t="s">
        <v>271</v>
      </c>
      <c r="G65" s="12" t="s">
        <v>65</v>
      </c>
      <c r="H65" s="14" t="s">
        <v>81</v>
      </c>
    </row>
    <row r="66" ht="98" customHeight="1" spans="1:8" x14ac:dyDescent="0.25">
      <c r="A66" s="6" t="s">
        <v>272</v>
      </c>
      <c r="B66" s="7" t="s">
        <v>241</v>
      </c>
      <c r="C66" s="8" t="s">
        <v>273</v>
      </c>
      <c r="D66" s="15" t="s">
        <v>57</v>
      </c>
      <c r="E66" s="10" t="s">
        <v>274</v>
      </c>
      <c r="F66" s="11" t="s">
        <v>274</v>
      </c>
      <c r="G66" s="12" t="s">
        <v>218</v>
      </c>
      <c r="H66" s="13">
        <v>120</v>
      </c>
    </row>
    <row r="67" ht="68" customHeight="1" spans="1:8" x14ac:dyDescent="0.25">
      <c r="A67" s="6" t="s">
        <v>275</v>
      </c>
      <c r="B67" s="7" t="s">
        <v>241</v>
      </c>
      <c r="C67" s="8" t="s">
        <v>276</v>
      </c>
      <c r="D67" s="9" t="s">
        <v>64</v>
      </c>
      <c r="E67" s="10" t="s">
        <v>65</v>
      </c>
      <c r="F67" s="11" t="s">
        <v>277</v>
      </c>
      <c r="G67" s="12" t="s">
        <v>211</v>
      </c>
      <c r="H67" s="13">
        <v>48</v>
      </c>
    </row>
    <row r="68" ht="28" customHeight="1" spans="1:8" x14ac:dyDescent="0.25">
      <c r="A68" s="3" t="s">
        <v>278</v>
      </c>
      <c r="B68" s="3"/>
      <c r="C68" s="3"/>
      <c r="D68" s="3"/>
      <c r="E68" s="3"/>
      <c r="F68" s="3"/>
      <c r="G68" s="3"/>
      <c r="H68" s="3"/>
    </row>
    <row r="69" ht="74" customHeight="1" spans="1:8" x14ac:dyDescent="0.25">
      <c r="A69" s="6" t="s">
        <v>279</v>
      </c>
      <c r="B69" s="7" t="s">
        <v>278</v>
      </c>
      <c r="C69" s="8" t="s">
        <v>280</v>
      </c>
      <c r="D69" s="9" t="s">
        <v>64</v>
      </c>
      <c r="E69" s="10" t="s">
        <v>65</v>
      </c>
      <c r="F69" s="11" t="s">
        <v>281</v>
      </c>
      <c r="G69" s="12" t="s">
        <v>282</v>
      </c>
      <c r="H69" s="14" t="s">
        <v>81</v>
      </c>
    </row>
    <row r="70" ht="74" customHeight="1" spans="1:8" x14ac:dyDescent="0.25">
      <c r="A70" s="6" t="s">
        <v>283</v>
      </c>
      <c r="B70" s="7" t="s">
        <v>278</v>
      </c>
      <c r="C70" s="8" t="s">
        <v>284</v>
      </c>
      <c r="D70" s="9" t="s">
        <v>64</v>
      </c>
      <c r="E70" s="10" t="s">
        <v>65</v>
      </c>
      <c r="F70" s="11" t="s">
        <v>285</v>
      </c>
      <c r="G70" s="12" t="s">
        <v>286</v>
      </c>
      <c r="H70" s="14" t="s">
        <v>81</v>
      </c>
    </row>
    <row r="71" ht="74" customHeight="1" spans="1:8" x14ac:dyDescent="0.25">
      <c r="A71" s="6" t="s">
        <v>287</v>
      </c>
      <c r="B71" s="7" t="s">
        <v>278</v>
      </c>
      <c r="C71" s="8" t="s">
        <v>288</v>
      </c>
      <c r="D71" s="9" t="s">
        <v>64</v>
      </c>
      <c r="E71" s="10" t="s">
        <v>65</v>
      </c>
      <c r="F71" s="11" t="s">
        <v>289</v>
      </c>
      <c r="G71" s="12" t="s">
        <v>65</v>
      </c>
      <c r="H71" s="14" t="s">
        <v>81</v>
      </c>
    </row>
    <row r="72" ht="74" customHeight="1" spans="1:8" x14ac:dyDescent="0.25">
      <c r="A72" s="6" t="s">
        <v>290</v>
      </c>
      <c r="B72" s="7" t="s">
        <v>278</v>
      </c>
      <c r="C72" s="8" t="s">
        <v>291</v>
      </c>
      <c r="D72" s="9" t="s">
        <v>64</v>
      </c>
      <c r="E72" s="10" t="s">
        <v>65</v>
      </c>
      <c r="F72" s="11" t="s">
        <v>292</v>
      </c>
      <c r="G72" s="12" t="s">
        <v>65</v>
      </c>
      <c r="H72" s="14" t="s">
        <v>81</v>
      </c>
    </row>
    <row r="73" ht="74" customHeight="1" spans="1:8" x14ac:dyDescent="0.25">
      <c r="A73" s="6" t="s">
        <v>293</v>
      </c>
      <c r="B73" s="7" t="s">
        <v>278</v>
      </c>
      <c r="C73" s="8" t="s">
        <v>294</v>
      </c>
      <c r="D73" s="9" t="s">
        <v>64</v>
      </c>
      <c r="E73" s="10" t="s">
        <v>65</v>
      </c>
      <c r="F73" s="11" t="s">
        <v>295</v>
      </c>
      <c r="G73" s="12" t="s">
        <v>65</v>
      </c>
      <c r="H73" s="14" t="s">
        <v>81</v>
      </c>
    </row>
    <row r="74" ht="28" customHeight="1" spans="1:8" x14ac:dyDescent="0.25">
      <c r="A74" s="3" t="s">
        <v>296</v>
      </c>
      <c r="B74" s="3"/>
      <c r="C74" s="3"/>
      <c r="D74" s="3"/>
      <c r="E74" s="3"/>
      <c r="F74" s="3"/>
      <c r="G74" s="3"/>
      <c r="H74" s="3"/>
    </row>
    <row r="75" ht="74" customHeight="1" spans="1:8" x14ac:dyDescent="0.25">
      <c r="A75" s="6" t="s">
        <v>297</v>
      </c>
      <c r="B75" s="7" t="s">
        <v>296</v>
      </c>
      <c r="C75" s="8" t="s">
        <v>298</v>
      </c>
      <c r="D75" s="15" t="s">
        <v>57</v>
      </c>
      <c r="E75" s="10" t="s">
        <v>65</v>
      </c>
      <c r="F75" s="11" t="s">
        <v>299</v>
      </c>
      <c r="G75" s="12" t="s">
        <v>65</v>
      </c>
      <c r="H75" s="14" t="s">
        <v>81</v>
      </c>
    </row>
    <row r="76" ht="178" customHeight="1" spans="1:8" x14ac:dyDescent="0.25">
      <c r="A76" s="6" t="s">
        <v>300</v>
      </c>
      <c r="B76" s="7" t="s">
        <v>296</v>
      </c>
      <c r="C76" s="8" t="s">
        <v>301</v>
      </c>
      <c r="D76" s="15" t="s">
        <v>57</v>
      </c>
      <c r="E76" s="10" t="s">
        <v>65</v>
      </c>
      <c r="F76" s="11" t="s">
        <v>302</v>
      </c>
      <c r="G76" s="12" t="s">
        <v>303</v>
      </c>
      <c r="H76" s="13">
        <v>240</v>
      </c>
    </row>
    <row r="77" ht="82" customHeight="1" spans="1:8" x14ac:dyDescent="0.25">
      <c r="A77" s="6" t="s">
        <v>304</v>
      </c>
      <c r="B77" s="7" t="s">
        <v>296</v>
      </c>
      <c r="C77" s="8" t="s">
        <v>305</v>
      </c>
      <c r="D77" s="9" t="s">
        <v>64</v>
      </c>
      <c r="E77" s="10" t="s">
        <v>65</v>
      </c>
      <c r="F77" s="11" t="s">
        <v>306</v>
      </c>
      <c r="G77" s="12" t="s">
        <v>307</v>
      </c>
      <c r="H77" s="13">
        <v>80</v>
      </c>
    </row>
    <row r="78" ht="74" customHeight="1" spans="1:8" x14ac:dyDescent="0.25">
      <c r="A78" s="6" t="s">
        <v>308</v>
      </c>
      <c r="B78" s="7" t="s">
        <v>296</v>
      </c>
      <c r="C78" s="8" t="s">
        <v>309</v>
      </c>
      <c r="D78" s="15" t="s">
        <v>57</v>
      </c>
      <c r="E78" s="10" t="s">
        <v>65</v>
      </c>
      <c r="F78" s="11" t="s">
        <v>310</v>
      </c>
      <c r="G78" s="12" t="s">
        <v>65</v>
      </c>
      <c r="H78" s="14" t="s">
        <v>81</v>
      </c>
    </row>
    <row r="79" ht="178" customHeight="1" spans="1:8" x14ac:dyDescent="0.25">
      <c r="A79" s="6" t="s">
        <v>311</v>
      </c>
      <c r="B79" s="7" t="s">
        <v>296</v>
      </c>
      <c r="C79" s="8" t="s">
        <v>312</v>
      </c>
      <c r="D79" s="15" t="s">
        <v>57</v>
      </c>
      <c r="E79" s="10" t="s">
        <v>65</v>
      </c>
      <c r="F79" s="11" t="s">
        <v>313</v>
      </c>
      <c r="G79" s="12" t="s">
        <v>303</v>
      </c>
      <c r="H79" s="13">
        <v>240</v>
      </c>
    </row>
    <row r="80" ht="82" customHeight="1" spans="1:8" x14ac:dyDescent="0.25">
      <c r="A80" s="6" t="s">
        <v>314</v>
      </c>
      <c r="B80" s="7" t="s">
        <v>296</v>
      </c>
      <c r="C80" s="8" t="s">
        <v>315</v>
      </c>
      <c r="D80" s="9" t="s">
        <v>64</v>
      </c>
      <c r="E80" s="10" t="s">
        <v>65</v>
      </c>
      <c r="F80" s="11" t="s">
        <v>316</v>
      </c>
      <c r="G80" s="12" t="s">
        <v>307</v>
      </c>
      <c r="H80" s="13">
        <v>80</v>
      </c>
    </row>
    <row r="81" ht="74" customHeight="1" spans="1:8" x14ac:dyDescent="0.25">
      <c r="A81" s="6" t="s">
        <v>317</v>
      </c>
      <c r="B81" s="7" t="s">
        <v>296</v>
      </c>
      <c r="C81" s="8" t="s">
        <v>318</v>
      </c>
      <c r="D81" s="9" t="s">
        <v>64</v>
      </c>
      <c r="E81" s="10" t="s">
        <v>65</v>
      </c>
      <c r="F81" s="11" t="s">
        <v>319</v>
      </c>
      <c r="G81" s="12" t="s">
        <v>65</v>
      </c>
      <c r="H81" s="14" t="s">
        <v>81</v>
      </c>
    </row>
    <row r="82" ht="178" customHeight="1" spans="1:8" x14ac:dyDescent="0.25">
      <c r="A82" s="6" t="s">
        <v>320</v>
      </c>
      <c r="B82" s="7" t="s">
        <v>296</v>
      </c>
      <c r="C82" s="8" t="s">
        <v>321</v>
      </c>
      <c r="D82" s="9" t="s">
        <v>64</v>
      </c>
      <c r="E82" s="10" t="s">
        <v>65</v>
      </c>
      <c r="F82" s="11" t="s">
        <v>322</v>
      </c>
      <c r="G82" s="12" t="s">
        <v>303</v>
      </c>
      <c r="H82" s="13">
        <v>240</v>
      </c>
    </row>
    <row r="83" ht="82" customHeight="1" spans="1:8" x14ac:dyDescent="0.25">
      <c r="A83" s="6" t="s">
        <v>323</v>
      </c>
      <c r="B83" s="7" t="s">
        <v>296</v>
      </c>
      <c r="C83" s="8" t="s">
        <v>324</v>
      </c>
      <c r="D83" s="9" t="s">
        <v>64</v>
      </c>
      <c r="E83" s="10" t="s">
        <v>65</v>
      </c>
      <c r="F83" s="11" t="s">
        <v>325</v>
      </c>
      <c r="G83" s="12" t="s">
        <v>307</v>
      </c>
      <c r="H83" s="13">
        <v>80</v>
      </c>
    </row>
    <row r="84" ht="74" customHeight="1" spans="1:8" x14ac:dyDescent="0.25">
      <c r="A84" s="6" t="s">
        <v>326</v>
      </c>
      <c r="B84" s="7" t="s">
        <v>296</v>
      </c>
      <c r="C84" s="8" t="s">
        <v>327</v>
      </c>
      <c r="D84" s="9" t="s">
        <v>64</v>
      </c>
      <c r="E84" s="10" t="s">
        <v>65</v>
      </c>
      <c r="F84" s="11" t="s">
        <v>328</v>
      </c>
      <c r="G84" s="12" t="s">
        <v>65</v>
      </c>
      <c r="H84" s="14" t="s">
        <v>81</v>
      </c>
    </row>
    <row r="85" ht="178" customHeight="1" spans="1:8" x14ac:dyDescent="0.25">
      <c r="A85" s="6" t="s">
        <v>329</v>
      </c>
      <c r="B85" s="7" t="s">
        <v>296</v>
      </c>
      <c r="C85" s="8" t="s">
        <v>330</v>
      </c>
      <c r="D85" s="9" t="s">
        <v>64</v>
      </c>
      <c r="E85" s="10" t="s">
        <v>65</v>
      </c>
      <c r="F85" s="11" t="s">
        <v>331</v>
      </c>
      <c r="G85" s="12" t="s">
        <v>303</v>
      </c>
      <c r="H85" s="13">
        <v>240</v>
      </c>
    </row>
    <row r="86" ht="82" customHeight="1" spans="1:8" x14ac:dyDescent="0.25">
      <c r="A86" s="6" t="s">
        <v>332</v>
      </c>
      <c r="B86" s="7" t="s">
        <v>296</v>
      </c>
      <c r="C86" s="8" t="s">
        <v>333</v>
      </c>
      <c r="D86" s="9" t="s">
        <v>64</v>
      </c>
      <c r="E86" s="10" t="s">
        <v>65</v>
      </c>
      <c r="F86" s="11" t="s">
        <v>334</v>
      </c>
      <c r="G86" s="12" t="s">
        <v>307</v>
      </c>
      <c r="H86" s="13">
        <v>80</v>
      </c>
    </row>
    <row r="87" ht="28" customHeight="1" spans="1:8" x14ac:dyDescent="0.25">
      <c r="A87" s="3" t="s">
        <v>335</v>
      </c>
      <c r="B87" s="3"/>
      <c r="C87" s="3"/>
      <c r="D87" s="3"/>
      <c r="E87" s="3"/>
      <c r="F87" s="3"/>
      <c r="G87" s="3"/>
      <c r="H87" s="3"/>
    </row>
    <row r="88" ht="74" customHeight="1" spans="1:8" x14ac:dyDescent="0.25">
      <c r="A88" s="6" t="s">
        <v>336</v>
      </c>
      <c r="B88" s="7" t="s">
        <v>335</v>
      </c>
      <c r="C88" s="8" t="s">
        <v>337</v>
      </c>
      <c r="D88" s="15" t="s">
        <v>57</v>
      </c>
      <c r="E88" s="10" t="s">
        <v>65</v>
      </c>
      <c r="F88" s="11" t="s">
        <v>338</v>
      </c>
      <c r="G88" s="12" t="s">
        <v>339</v>
      </c>
      <c r="H88" s="14" t="s">
        <v>81</v>
      </c>
    </row>
    <row r="89" ht="74" customHeight="1" spans="1:8" x14ac:dyDescent="0.25">
      <c r="A89" s="6" t="s">
        <v>340</v>
      </c>
      <c r="B89" s="7" t="s">
        <v>335</v>
      </c>
      <c r="C89" s="8" t="s">
        <v>341</v>
      </c>
      <c r="D89" s="9" t="s">
        <v>64</v>
      </c>
      <c r="E89" s="10" t="s">
        <v>65</v>
      </c>
      <c r="F89" s="11" t="s">
        <v>342</v>
      </c>
      <c r="G89" s="12" t="s">
        <v>343</v>
      </c>
      <c r="H89" s="14" t="s">
        <v>81</v>
      </c>
    </row>
    <row r="90" ht="74" customHeight="1" spans="1:8" x14ac:dyDescent="0.25">
      <c r="A90" s="6" t="s">
        <v>344</v>
      </c>
      <c r="B90" s="7" t="s">
        <v>335</v>
      </c>
      <c r="C90" s="8" t="s">
        <v>345</v>
      </c>
      <c r="D90" s="9" t="s">
        <v>64</v>
      </c>
      <c r="E90" s="10" t="s">
        <v>65</v>
      </c>
      <c r="F90" s="11" t="s">
        <v>346</v>
      </c>
      <c r="G90" s="12" t="s">
        <v>65</v>
      </c>
      <c r="H90" s="14" t="s">
        <v>81</v>
      </c>
    </row>
    <row r="91" ht="74" customHeight="1" spans="1:8" x14ac:dyDescent="0.25">
      <c r="A91" s="6" t="s">
        <v>347</v>
      </c>
      <c r="B91" s="7" t="s">
        <v>335</v>
      </c>
      <c r="C91" s="8" t="s">
        <v>348</v>
      </c>
      <c r="D91" s="9" t="s">
        <v>64</v>
      </c>
      <c r="E91" s="10" t="s">
        <v>65</v>
      </c>
      <c r="F91" s="11" t="s">
        <v>349</v>
      </c>
      <c r="G91" s="12" t="s">
        <v>350</v>
      </c>
      <c r="H91" s="14" t="s">
        <v>81</v>
      </c>
    </row>
    <row r="92" ht="74" customHeight="1" spans="1:8" x14ac:dyDescent="0.25">
      <c r="A92" s="6" t="s">
        <v>351</v>
      </c>
      <c r="B92" s="7" t="s">
        <v>335</v>
      </c>
      <c r="C92" s="8" t="s">
        <v>352</v>
      </c>
      <c r="D92" s="9" t="s">
        <v>64</v>
      </c>
      <c r="E92" s="10" t="s">
        <v>65</v>
      </c>
      <c r="F92" s="11" t="s">
        <v>353</v>
      </c>
      <c r="G92" s="12" t="s">
        <v>343</v>
      </c>
      <c r="H92" s="14" t="s">
        <v>81</v>
      </c>
    </row>
    <row r="93" ht="74" customHeight="1" spans="1:8" x14ac:dyDescent="0.25">
      <c r="A93" s="6" t="s">
        <v>354</v>
      </c>
      <c r="B93" s="7" t="s">
        <v>335</v>
      </c>
      <c r="C93" s="8" t="s">
        <v>355</v>
      </c>
      <c r="D93" s="15" t="s">
        <v>57</v>
      </c>
      <c r="E93" s="10" t="s">
        <v>65</v>
      </c>
      <c r="F93" s="11" t="s">
        <v>356</v>
      </c>
      <c r="G93" s="12" t="s">
        <v>357</v>
      </c>
      <c r="H93" s="14" t="s">
        <v>81</v>
      </c>
    </row>
    <row r="94" ht="28" customHeight="1" spans="1:8" x14ac:dyDescent="0.25">
      <c r="A94" s="3" t="s">
        <v>358</v>
      </c>
      <c r="B94" s="3"/>
      <c r="C94" s="3"/>
      <c r="D94" s="3"/>
      <c r="E94" s="3"/>
      <c r="F94" s="3"/>
      <c r="G94" s="3"/>
      <c r="H94" s="3"/>
    </row>
    <row r="95" ht="74" customHeight="1" spans="1:8" x14ac:dyDescent="0.25">
      <c r="A95" s="6" t="s">
        <v>359</v>
      </c>
      <c r="B95" s="7" t="s">
        <v>358</v>
      </c>
      <c r="C95" s="8" t="s">
        <v>360</v>
      </c>
      <c r="D95" s="15" t="s">
        <v>57</v>
      </c>
      <c r="E95" s="10" t="s">
        <v>361</v>
      </c>
      <c r="F95" s="11" t="s">
        <v>361</v>
      </c>
      <c r="G95" s="12" t="s">
        <v>65</v>
      </c>
      <c r="H95" s="14" t="s">
        <v>81</v>
      </c>
    </row>
    <row r="96" ht="74" customHeight="1" spans="1:8" x14ac:dyDescent="0.25">
      <c r="A96" s="6" t="s">
        <v>362</v>
      </c>
      <c r="B96" s="7" t="s">
        <v>358</v>
      </c>
      <c r="C96" s="8" t="s">
        <v>363</v>
      </c>
      <c r="D96" s="15" t="s">
        <v>57</v>
      </c>
      <c r="E96" s="10" t="s">
        <v>361</v>
      </c>
      <c r="F96" s="11" t="s">
        <v>361</v>
      </c>
      <c r="G96" s="12" t="s">
        <v>65</v>
      </c>
      <c r="H96" s="14" t="s">
        <v>81</v>
      </c>
    </row>
    <row r="97" ht="74" customHeight="1" spans="1:8" x14ac:dyDescent="0.25">
      <c r="A97" s="6" t="s">
        <v>364</v>
      </c>
      <c r="B97" s="7" t="s">
        <v>358</v>
      </c>
      <c r="C97" s="8" t="s">
        <v>365</v>
      </c>
      <c r="D97" s="15" t="s">
        <v>57</v>
      </c>
      <c r="E97" s="10" t="s">
        <v>361</v>
      </c>
      <c r="F97" s="11" t="s">
        <v>361</v>
      </c>
      <c r="G97" s="12" t="s">
        <v>65</v>
      </c>
      <c r="H97" s="14" t="s">
        <v>81</v>
      </c>
    </row>
    <row r="98" ht="74" customHeight="1" spans="1:8" x14ac:dyDescent="0.25">
      <c r="A98" s="6" t="s">
        <v>366</v>
      </c>
      <c r="B98" s="7" t="s">
        <v>358</v>
      </c>
      <c r="C98" s="8" t="s">
        <v>367</v>
      </c>
      <c r="D98" s="15" t="s">
        <v>57</v>
      </c>
      <c r="E98" s="10" t="s">
        <v>361</v>
      </c>
      <c r="F98" s="11" t="s">
        <v>361</v>
      </c>
      <c r="G98" s="12" t="s">
        <v>65</v>
      </c>
      <c r="H98" s="14" t="s">
        <v>81</v>
      </c>
    </row>
    <row r="99" ht="74" customHeight="1" spans="1:8" x14ac:dyDescent="0.25">
      <c r="A99" s="6" t="s">
        <v>368</v>
      </c>
      <c r="B99" s="7" t="s">
        <v>358</v>
      </c>
      <c r="C99" s="8" t="s">
        <v>369</v>
      </c>
      <c r="D99" s="15" t="s">
        <v>57</v>
      </c>
      <c r="E99" s="10" t="s">
        <v>361</v>
      </c>
      <c r="F99" s="11" t="s">
        <v>361</v>
      </c>
      <c r="G99" s="12" t="s">
        <v>370</v>
      </c>
      <c r="H99" s="14" t="s">
        <v>81</v>
      </c>
    </row>
    <row r="100" ht="28" customHeight="1" spans="1:8" x14ac:dyDescent="0.25">
      <c r="A100" s="3" t="s">
        <v>371</v>
      </c>
      <c r="B100" s="3"/>
      <c r="C100" s="3"/>
      <c r="D100" s="3"/>
      <c r="E100" s="3"/>
      <c r="F100" s="3"/>
      <c r="G100" s="3"/>
      <c r="H100" s="3"/>
    </row>
    <row r="101" ht="74" customHeight="1" spans="1:8" x14ac:dyDescent="0.25">
      <c r="A101" s="6" t="s">
        <v>372</v>
      </c>
      <c r="B101" s="7" t="s">
        <v>371</v>
      </c>
      <c r="C101" s="8" t="s">
        <v>373</v>
      </c>
      <c r="D101" s="15" t="s">
        <v>57</v>
      </c>
      <c r="E101" s="10" t="s">
        <v>65</v>
      </c>
      <c r="F101" s="11" t="s">
        <v>374</v>
      </c>
      <c r="G101" s="12" t="s">
        <v>375</v>
      </c>
      <c r="H101" s="14" t="s">
        <v>81</v>
      </c>
    </row>
    <row r="102" ht="74" customHeight="1" spans="1:8" x14ac:dyDescent="0.25">
      <c r="A102" s="6" t="s">
        <v>376</v>
      </c>
      <c r="B102" s="7" t="s">
        <v>371</v>
      </c>
      <c r="C102" s="8" t="s">
        <v>377</v>
      </c>
      <c r="D102" s="15" t="s">
        <v>57</v>
      </c>
      <c r="E102" s="10" t="s">
        <v>65</v>
      </c>
      <c r="F102" s="11" t="s">
        <v>378</v>
      </c>
      <c r="G102" s="12" t="s">
        <v>379</v>
      </c>
      <c r="H102" s="14" t="s">
        <v>81</v>
      </c>
    </row>
    <row r="103" ht="74" customHeight="1" spans="1:8" x14ac:dyDescent="0.25">
      <c r="A103" s="6" t="s">
        <v>380</v>
      </c>
      <c r="B103" s="7" t="s">
        <v>371</v>
      </c>
      <c r="C103" s="8" t="s">
        <v>381</v>
      </c>
      <c r="D103" s="9" t="s">
        <v>64</v>
      </c>
      <c r="E103" s="10" t="s">
        <v>65</v>
      </c>
      <c r="F103" s="11" t="s">
        <v>382</v>
      </c>
      <c r="G103" s="12" t="s">
        <v>383</v>
      </c>
      <c r="H103" s="14" t="s">
        <v>81</v>
      </c>
    </row>
    <row r="104" ht="28" customHeight="1" spans="1:8" x14ac:dyDescent="0.25">
      <c r="A104" s="3" t="s">
        <v>384</v>
      </c>
      <c r="B104" s="3"/>
      <c r="C104" s="3"/>
      <c r="D104" s="3"/>
      <c r="E104" s="3"/>
      <c r="F104" s="3"/>
      <c r="G104" s="3"/>
      <c r="H104" s="3"/>
    </row>
    <row r="105" ht="74" customHeight="1" spans="1:8" x14ac:dyDescent="0.25">
      <c r="A105" s="6" t="s">
        <v>385</v>
      </c>
      <c r="B105" s="7" t="s">
        <v>384</v>
      </c>
      <c r="C105" s="8" t="s">
        <v>386</v>
      </c>
      <c r="D105" s="15" t="s">
        <v>57</v>
      </c>
      <c r="E105" s="10" t="s">
        <v>387</v>
      </c>
      <c r="F105" s="11" t="s">
        <v>387</v>
      </c>
      <c r="G105" s="12" t="s">
        <v>388</v>
      </c>
      <c r="H105" s="14" t="s">
        <v>81</v>
      </c>
    </row>
    <row r="106" ht="74" customHeight="1" spans="1:8" x14ac:dyDescent="0.25">
      <c r="A106" s="6" t="s">
        <v>389</v>
      </c>
      <c r="B106" s="7" t="s">
        <v>384</v>
      </c>
      <c r="C106" s="8" t="s">
        <v>390</v>
      </c>
      <c r="D106" s="9" t="s">
        <v>64</v>
      </c>
      <c r="E106" s="10" t="s">
        <v>65</v>
      </c>
      <c r="F106" s="11" t="s">
        <v>391</v>
      </c>
      <c r="G106" s="12" t="s">
        <v>392</v>
      </c>
      <c r="H106" s="14" t="s">
        <v>81</v>
      </c>
    </row>
    <row r="107" ht="74" customHeight="1" spans="1:8" x14ac:dyDescent="0.25">
      <c r="A107" s="6" t="s">
        <v>393</v>
      </c>
      <c r="B107" s="7" t="s">
        <v>384</v>
      </c>
      <c r="C107" s="8" t="s">
        <v>394</v>
      </c>
      <c r="D107" s="9" t="s">
        <v>64</v>
      </c>
      <c r="E107" s="10" t="s">
        <v>65</v>
      </c>
      <c r="F107" s="11" t="s">
        <v>395</v>
      </c>
      <c r="G107" s="12" t="s">
        <v>396</v>
      </c>
      <c r="H107" s="14" t="s">
        <v>81</v>
      </c>
    </row>
    <row r="108" ht="74" customHeight="1" spans="1:8" x14ac:dyDescent="0.25">
      <c r="A108" s="6" t="s">
        <v>397</v>
      </c>
      <c r="B108" s="7" t="s">
        <v>384</v>
      </c>
      <c r="C108" s="8" t="s">
        <v>398</v>
      </c>
      <c r="D108" s="15" t="s">
        <v>57</v>
      </c>
      <c r="E108" s="10" t="s">
        <v>65</v>
      </c>
      <c r="F108" s="11" t="s">
        <v>399</v>
      </c>
      <c r="G108" s="12" t="s">
        <v>400</v>
      </c>
      <c r="H108" s="14" t="s">
        <v>81</v>
      </c>
    </row>
    <row r="109" ht="74" customHeight="1" spans="1:8" x14ac:dyDescent="0.25">
      <c r="A109" s="6" t="s">
        <v>401</v>
      </c>
      <c r="B109" s="7" t="s">
        <v>384</v>
      </c>
      <c r="C109" s="8" t="s">
        <v>402</v>
      </c>
      <c r="D109" s="15" t="s">
        <v>57</v>
      </c>
      <c r="E109" s="10" t="s">
        <v>65</v>
      </c>
      <c r="F109" s="11" t="s">
        <v>403</v>
      </c>
      <c r="G109" s="12" t="s">
        <v>404</v>
      </c>
      <c r="H109" s="14" t="s">
        <v>81</v>
      </c>
    </row>
    <row r="110" ht="74" customHeight="1" spans="1:8" x14ac:dyDescent="0.25">
      <c r="A110" s="6" t="s">
        <v>405</v>
      </c>
      <c r="B110" s="7" t="s">
        <v>384</v>
      </c>
      <c r="C110" s="8" t="s">
        <v>406</v>
      </c>
      <c r="D110" s="15" t="s">
        <v>57</v>
      </c>
      <c r="E110" s="10" t="s">
        <v>407</v>
      </c>
      <c r="F110" s="11" t="s">
        <v>407</v>
      </c>
      <c r="G110" s="12" t="s">
        <v>408</v>
      </c>
      <c r="H110" s="14" t="s">
        <v>81</v>
      </c>
    </row>
    <row r="111" ht="74" customHeight="1" spans="1:8" x14ac:dyDescent="0.25">
      <c r="A111" s="6" t="s">
        <v>409</v>
      </c>
      <c r="B111" s="7" t="s">
        <v>384</v>
      </c>
      <c r="C111" s="8" t="s">
        <v>410</v>
      </c>
      <c r="D111" s="15" t="s">
        <v>57</v>
      </c>
      <c r="E111" s="10" t="s">
        <v>411</v>
      </c>
      <c r="F111" s="11" t="s">
        <v>361</v>
      </c>
      <c r="G111" s="12" t="s">
        <v>412</v>
      </c>
      <c r="H111" s="14" t="s">
        <v>81</v>
      </c>
    </row>
    <row r="112" ht="74" customHeight="1" spans="1:8" x14ac:dyDescent="0.25">
      <c r="A112" s="6" t="s">
        <v>413</v>
      </c>
      <c r="B112" s="7" t="s">
        <v>384</v>
      </c>
      <c r="C112" s="8" t="s">
        <v>414</v>
      </c>
      <c r="D112" s="15" t="s">
        <v>57</v>
      </c>
      <c r="E112" s="10" t="s">
        <v>411</v>
      </c>
      <c r="F112" s="11" t="s">
        <v>361</v>
      </c>
      <c r="G112" s="12" t="s">
        <v>415</v>
      </c>
      <c r="H112" s="14" t="s">
        <v>81</v>
      </c>
    </row>
    <row r="113" ht="74" customHeight="1" spans="1:8" x14ac:dyDescent="0.25">
      <c r="A113" s="6" t="s">
        <v>416</v>
      </c>
      <c r="B113" s="7" t="s">
        <v>384</v>
      </c>
      <c r="C113" s="8" t="s">
        <v>417</v>
      </c>
      <c r="D113" s="15" t="s">
        <v>57</v>
      </c>
      <c r="E113" s="10" t="s">
        <v>411</v>
      </c>
      <c r="F113" s="11" t="s">
        <v>361</v>
      </c>
      <c r="G113" s="12" t="s">
        <v>418</v>
      </c>
      <c r="H113" s="14" t="s">
        <v>81</v>
      </c>
    </row>
  </sheetData>
  <mergeCells count="15">
    <mergeCell ref="A1:H2"/>
    <mergeCell ref="A3:H3"/>
    <mergeCell ref="A5:H5"/>
    <mergeCell ref="A9:H9"/>
    <mergeCell ref="A17:H17"/>
    <mergeCell ref="A27:H27"/>
    <mergeCell ref="A36:H36"/>
    <mergeCell ref="A42:H42"/>
    <mergeCell ref="A55:H55"/>
    <mergeCell ref="A68:H68"/>
    <mergeCell ref="A74:H74"/>
    <mergeCell ref="A87:H87"/>
    <mergeCell ref="A94:H94"/>
    <mergeCell ref="A100:H100"/>
    <mergeCell ref="A104:H104"/>
  </mergeCells>
  <conditionalFormatting sqref="E11">
    <cfRule type="expression" dxfId="0" priority="1">
      <formula>AND($D11="필수",$E11="")</formula>
    </cfRule>
  </conditionalFormatting>
  <conditionalFormatting sqref="E14">
    <cfRule type="expression" dxfId="1" priority="2">
      <formula>AND($D14="필수",$E14="")</formula>
    </cfRule>
  </conditionalFormatting>
  <conditionalFormatting sqref="E16">
    <cfRule type="expression" dxfId="2" priority="3">
      <formula>AND($D16="필수",$E16="")</formula>
    </cfRule>
  </conditionalFormatting>
  <conditionalFormatting sqref="E18">
    <cfRule type="expression" dxfId="3" priority="4">
      <formula>AND($D18="필수",$E18="")</formula>
    </cfRule>
  </conditionalFormatting>
  <conditionalFormatting sqref="E19">
    <cfRule type="expression" dxfId="4" priority="5">
      <formula>AND($D19="필수",$E19="")</formula>
    </cfRule>
  </conditionalFormatting>
  <conditionalFormatting sqref="E20">
    <cfRule type="expression" dxfId="5" priority="6">
      <formula>AND($D20="필수",$E20="")</formula>
    </cfRule>
  </conditionalFormatting>
  <conditionalFormatting sqref="E24">
    <cfRule type="expression" dxfId="6" priority="7">
      <formula>AND($D24="필수",$E24="")</formula>
    </cfRule>
  </conditionalFormatting>
  <conditionalFormatting sqref="E25">
    <cfRule type="expression" dxfId="7" priority="8">
      <formula>AND($D25="필수",$E25="")</formula>
    </cfRule>
  </conditionalFormatting>
  <conditionalFormatting sqref="E29">
    <cfRule type="expression" dxfId="8" priority="9">
      <formula>AND($D29="필수",$E29="")</formula>
    </cfRule>
  </conditionalFormatting>
  <conditionalFormatting sqref="E31">
    <cfRule type="expression" dxfId="9" priority="10">
      <formula>AND($D31="필수",$E31="")</formula>
    </cfRule>
  </conditionalFormatting>
  <conditionalFormatting sqref="E33">
    <cfRule type="expression" dxfId="10" priority="11">
      <formula>AND($D33="필수",$E33="")</formula>
    </cfRule>
  </conditionalFormatting>
  <conditionalFormatting sqref="E34">
    <cfRule type="expression" dxfId="11" priority="12">
      <formula>AND($D34="필수",$E34="")</formula>
    </cfRule>
  </conditionalFormatting>
  <conditionalFormatting sqref="E37">
    <cfRule type="expression" dxfId="12" priority="13">
      <formula>AND($D37="필수",$E37="")</formula>
    </cfRule>
  </conditionalFormatting>
  <conditionalFormatting sqref="E39">
    <cfRule type="expression" dxfId="13" priority="14">
      <formula>AND($D39="필수",$E39="")</formula>
    </cfRule>
  </conditionalFormatting>
  <conditionalFormatting sqref="E43">
    <cfRule type="expression" dxfId="14" priority="15">
      <formula>AND($D43="필수",$E43="")</formula>
    </cfRule>
  </conditionalFormatting>
  <conditionalFormatting sqref="E44">
    <cfRule type="expression" dxfId="15" priority="16">
      <formula>AND($D44="필수",$E44="")</formula>
    </cfRule>
  </conditionalFormatting>
  <conditionalFormatting sqref="E46">
    <cfRule type="expression" dxfId="16" priority="17">
      <formula>AND($D46="필수",$E46="")</formula>
    </cfRule>
  </conditionalFormatting>
  <conditionalFormatting sqref="E47">
    <cfRule type="expression" dxfId="17" priority="18">
      <formula>AND($D47="필수",$E47="")</formula>
    </cfRule>
  </conditionalFormatting>
  <conditionalFormatting sqref="E49">
    <cfRule type="expression" dxfId="18" priority="19">
      <formula>AND($D49="필수",$E49="")</formula>
    </cfRule>
  </conditionalFormatting>
  <conditionalFormatting sqref="E50">
    <cfRule type="expression" dxfId="19" priority="20">
      <formula>AND($D50="필수",$E50="")</formula>
    </cfRule>
  </conditionalFormatting>
  <conditionalFormatting sqref="E56">
    <cfRule type="expression" dxfId="20" priority="21">
      <formula>AND($D56="필수",$E56="")</formula>
    </cfRule>
  </conditionalFormatting>
  <conditionalFormatting sqref="E57">
    <cfRule type="expression" dxfId="21" priority="22">
      <formula>AND($D57="필수",$E57="")</formula>
    </cfRule>
  </conditionalFormatting>
  <conditionalFormatting sqref="E59">
    <cfRule type="expression" dxfId="22" priority="23">
      <formula>AND($D59="필수",$E59="")</formula>
    </cfRule>
  </conditionalFormatting>
  <conditionalFormatting sqref="E60">
    <cfRule type="expression" dxfId="23" priority="24">
      <formula>AND($D60="필수",$E60="")</formula>
    </cfRule>
  </conditionalFormatting>
  <conditionalFormatting sqref="E62">
    <cfRule type="expression" dxfId="24" priority="25">
      <formula>AND($D62="필수",$E62="")</formula>
    </cfRule>
  </conditionalFormatting>
  <conditionalFormatting sqref="E63">
    <cfRule type="expression" dxfId="25" priority="26">
      <formula>AND($D63="필수",$E63="")</formula>
    </cfRule>
  </conditionalFormatting>
  <conditionalFormatting sqref="E65">
    <cfRule type="expression" dxfId="26" priority="27">
      <formula>AND($D65="필수",$E65="")</formula>
    </cfRule>
  </conditionalFormatting>
  <conditionalFormatting sqref="E66">
    <cfRule type="expression" dxfId="27" priority="28">
      <formula>AND($D66="필수",$E66="")</formula>
    </cfRule>
  </conditionalFormatting>
  <conditionalFormatting sqref="E75">
    <cfRule type="expression" dxfId="28" priority="29">
      <formula>AND($D75="필수",$E75="")</formula>
    </cfRule>
  </conditionalFormatting>
  <conditionalFormatting sqref="E76">
    <cfRule type="expression" dxfId="29" priority="30">
      <formula>AND($D76="필수",$E76="")</formula>
    </cfRule>
  </conditionalFormatting>
  <conditionalFormatting sqref="E78">
    <cfRule type="expression" dxfId="30" priority="31">
      <formula>AND($D78="필수",$E78="")</formula>
    </cfRule>
  </conditionalFormatting>
  <conditionalFormatting sqref="E79">
    <cfRule type="expression" dxfId="31" priority="32">
      <formula>AND($D79="필수",$E79="")</formula>
    </cfRule>
  </conditionalFormatting>
  <conditionalFormatting sqref="E88">
    <cfRule type="expression" dxfId="32" priority="33">
      <formula>AND($D88="필수",$E88="")</formula>
    </cfRule>
  </conditionalFormatting>
  <conditionalFormatting sqref="E93">
    <cfRule type="expression" dxfId="33" priority="34">
      <formula>AND($D93="필수",$E93="")</formula>
    </cfRule>
  </conditionalFormatting>
  <conditionalFormatting sqref="E95">
    <cfRule type="expression" dxfId="34" priority="35">
      <formula>AND($D95="필수",$E95="")</formula>
    </cfRule>
  </conditionalFormatting>
  <conditionalFormatting sqref="E96">
    <cfRule type="expression" dxfId="35" priority="36">
      <formula>AND($D96="필수",$E96="")</formula>
    </cfRule>
  </conditionalFormatting>
  <conditionalFormatting sqref="E97">
    <cfRule type="expression" dxfId="36" priority="37">
      <formula>AND($D97="필수",$E97="")</formula>
    </cfRule>
  </conditionalFormatting>
  <conditionalFormatting sqref="E98">
    <cfRule type="expression" dxfId="37" priority="38">
      <formula>AND($D98="필수",$E98="")</formula>
    </cfRule>
  </conditionalFormatting>
  <conditionalFormatting sqref="E99">
    <cfRule type="expression" dxfId="38" priority="39">
      <formula>AND($D99="필수",$E99="")</formula>
    </cfRule>
  </conditionalFormatting>
  <conditionalFormatting sqref="E101">
    <cfRule type="expression" dxfId="39" priority="40">
      <formula>AND($D101="필수",$E101="")</formula>
    </cfRule>
  </conditionalFormatting>
  <conditionalFormatting sqref="E102">
    <cfRule type="expression" dxfId="40" priority="41">
      <formula>AND($D102="필수",$E102="")</formula>
    </cfRule>
  </conditionalFormatting>
  <conditionalFormatting sqref="E105">
    <cfRule type="expression" dxfId="41" priority="42">
      <formula>AND($D105="필수",$E105="")</formula>
    </cfRule>
  </conditionalFormatting>
  <conditionalFormatting sqref="E108">
    <cfRule type="expression" dxfId="42" priority="43">
      <formula>AND($D108="필수",$E108="")</formula>
    </cfRule>
  </conditionalFormatting>
  <conditionalFormatting sqref="E109">
    <cfRule type="expression" dxfId="43" priority="44">
      <formula>AND($D109="필수",$E109="")</formula>
    </cfRule>
  </conditionalFormatting>
  <conditionalFormatting sqref="E110">
    <cfRule type="expression" dxfId="44" priority="45">
      <formula>AND($D110="필수",$E110="")</formula>
    </cfRule>
  </conditionalFormatting>
  <conditionalFormatting sqref="E111">
    <cfRule type="expression" dxfId="45" priority="46">
      <formula>AND($D111="필수",$E111="")</formula>
    </cfRule>
  </conditionalFormatting>
  <conditionalFormatting sqref="E112">
    <cfRule type="expression" dxfId="46" priority="47">
      <formula>AND($D112="필수",$E112="")</formula>
    </cfRule>
  </conditionalFormatting>
  <conditionalFormatting sqref="E113">
    <cfRule type="expression" dxfId="47" priority="48">
      <formula>AND($D113="필수",$E113="")</formula>
    </cfRule>
  </conditionalFormatting>
  <dataValidations count="6">
    <dataValidation type="list" showErrorMessage="1" errorTitle="목록에서 선택해 주세요" error="안내된 선택값을 사용해 주세요." sqref="E105">
      <formula1>"pending,approved,not-required"</formula1>
    </dataValidation>
    <dataValidation type="list" showErrorMessage="1" errorTitle="목록에서 선택해 주세요" error="안내된 선택값을 사용해 주세요." sqref="E11">
      <formula1>"draft,published"</formula1>
    </dataValidation>
    <dataValidation type="list" showErrorMessage="1" errorTitle="목록에서 선택해 주세요" error="안내된 선택값을 사용해 주세요." sqref="E111:E113">
      <formula1>"예,아니오"</formula1>
    </dataValidation>
    <dataValidation type="list" showErrorMessage="1" errorTitle="목록에서 선택해 주세요" error="안내된 선택값을 사용해 주세요." sqref="E14">
      <formula1>"trust-blue,warm-care,premium-navy,clean-minimal,local-friendly"</formula1>
    </dataValidation>
    <dataValidation type="list" showErrorMessage="1" errorTitle="목록에서 선택해 주세요" error="안내된 선택값을 사용해 주세요." sqref="E16">
      <formula1>"pretendard,noto-serif-kr"</formula1>
    </dataValidation>
    <dataValidation type="list" showErrorMessage="1" errorTitle="목록에서 선택해 주세요" error="안내된 선택값을 사용해 주세요." sqref="E95:E99">
      <formula1>"예,아니오"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6"/>
  <sheetViews>
    <sheetView workbookViewId="0" showGridLines="0">
      <pane ySplit="4" topLeftCell="A5" activePane="bottomLeft" state="frozen"/>
      <selection pane="bottomLeft"/>
    </sheetView>
  </sheetViews>
  <sheetFormatPr defaultRowHeight="32" outlineLevelRow="0" outlineLevelCol="0" x14ac:dyDescent="55" customHeight="1"/>
  <cols>
    <col min="1" max="1" width="22" customWidth="1"/>
    <col min="2" max="2" width="24" customWidth="1"/>
    <col min="3" max="3" width="40" customWidth="1"/>
    <col min="4" max="4" width="50" customWidth="1"/>
  </cols>
  <sheetData>
    <row r="1" ht="28" customHeight="1" spans="1:4" x14ac:dyDescent="0.25">
      <c r="A1" s="1" t="s">
        <v>419</v>
      </c>
      <c r="B1" s="1"/>
      <c r="C1" s="1"/>
      <c r="D1" s="1"/>
    </row>
    <row r="2" ht="28" customHeight="1" spans="1:4" x14ac:dyDescent="0.25">
      <c r="A2" s="1"/>
      <c r="B2" s="1"/>
      <c r="C2" s="1"/>
      <c r="D2" s="1"/>
    </row>
    <row r="3" ht="38" customHeight="1" spans="1:4" x14ac:dyDescent="0.25">
      <c r="A3" s="2" t="s">
        <v>420</v>
      </c>
      <c r="B3" s="2"/>
      <c r="C3" s="2"/>
      <c r="D3" s="2"/>
    </row>
    <row r="5" ht="36" customHeight="1" spans="1:4" x14ac:dyDescent="0.25">
      <c r="A5" s="5" t="s">
        <v>421</v>
      </c>
      <c r="B5" s="5" t="s">
        <v>422</v>
      </c>
      <c r="C5" s="5" t="s">
        <v>423</v>
      </c>
      <c r="D5" s="5" t="s">
        <v>424</v>
      </c>
    </row>
    <row r="6" ht="65" customHeight="1" spans="1:4" x14ac:dyDescent="0.25">
      <c r="A6" s="4" t="s">
        <v>96</v>
      </c>
      <c r="B6" s="4" t="s">
        <v>425</v>
      </c>
      <c r="C6" s="4" t="s">
        <v>426</v>
      </c>
      <c r="D6" s="4" t="s">
        <v>427</v>
      </c>
    </row>
    <row r="7" ht="65" customHeight="1" spans="1:4" x14ac:dyDescent="0.25">
      <c r="A7" s="4" t="s">
        <v>428</v>
      </c>
      <c r="B7" s="4" t="s">
        <v>429</v>
      </c>
      <c r="C7" s="4" t="s">
        <v>430</v>
      </c>
      <c r="D7" s="4" t="s">
        <v>431</v>
      </c>
    </row>
    <row r="8" ht="65" customHeight="1" spans="1:4" x14ac:dyDescent="0.25">
      <c r="A8" s="4" t="s">
        <v>432</v>
      </c>
      <c r="B8" s="4" t="s">
        <v>433</v>
      </c>
      <c r="C8" s="4" t="s">
        <v>434</v>
      </c>
      <c r="D8" s="4" t="s">
        <v>435</v>
      </c>
    </row>
    <row r="9" ht="65" customHeight="1" spans="1:4" x14ac:dyDescent="0.25">
      <c r="A9" s="4" t="s">
        <v>436</v>
      </c>
      <c r="B9" s="4" t="s">
        <v>437</v>
      </c>
      <c r="C9" s="4" t="s">
        <v>438</v>
      </c>
      <c r="D9" s="4" t="s">
        <v>439</v>
      </c>
    </row>
    <row r="10" ht="65" customHeight="1" spans="1:4" x14ac:dyDescent="0.25">
      <c r="A10" s="4" t="s">
        <v>440</v>
      </c>
      <c r="B10" s="4" t="s">
        <v>441</v>
      </c>
      <c r="C10" s="4" t="s">
        <v>442</v>
      </c>
      <c r="D10" s="4" t="s">
        <v>443</v>
      </c>
    </row>
    <row r="12" ht="28" customHeight="1" spans="1:4" x14ac:dyDescent="0.25">
      <c r="A12" s="3" t="s">
        <v>444</v>
      </c>
      <c r="B12" s="3"/>
      <c r="C12" s="3"/>
      <c r="D12" s="3"/>
    </row>
    <row r="13" ht="46" customHeight="1" spans="1:4" x14ac:dyDescent="0.25">
      <c r="A13" s="4" t="s">
        <v>445</v>
      </c>
      <c r="B13" s="4" t="s">
        <v>446</v>
      </c>
      <c r="C13" s="4" t="s">
        <v>447</v>
      </c>
      <c r="D13" s="4" t="s">
        <v>448</v>
      </c>
    </row>
    <row r="14" ht="46" customHeight="1" spans="1:4" x14ac:dyDescent="0.25">
      <c r="A14" s="4" t="s">
        <v>449</v>
      </c>
      <c r="B14" s="4" t="s">
        <v>450</v>
      </c>
      <c r="C14" s="4" t="s">
        <v>451</v>
      </c>
      <c r="D14" s="4" t="s">
        <v>452</v>
      </c>
    </row>
    <row r="16" ht="64" customHeight="1" spans="1:4" x14ac:dyDescent="0.25">
      <c r="A16" s="4" t="s">
        <v>453</v>
      </c>
      <c r="B16" s="4" t="s">
        <v>454</v>
      </c>
      <c r="C16" s="4" t="s">
        <v>455</v>
      </c>
      <c r="D16" s="4" t="s">
        <v>456</v>
      </c>
    </row>
  </sheetData>
  <mergeCells count="3">
    <mergeCell ref="A1:D2"/>
    <mergeCell ref="A3:D3"/>
    <mergeCell ref="A12:D12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1"/>
  <sheetViews>
    <sheetView workbookViewId="0" showGridLines="0">
      <pane ySplit="4" topLeftCell="A5" activePane="bottomLeft" state="frozen"/>
      <selection pane="bottomLeft"/>
    </sheetView>
  </sheetViews>
  <sheetFormatPr defaultRowHeight="32" outlineLevelRow="0" outlineLevelCol="0" x14ac:dyDescent="55" customHeight="1"/>
  <cols>
    <col min="1" max="1" width="29" customWidth="1"/>
    <col min="2" max="2" width="27" customWidth="1"/>
    <col min="3" max="3" width="85" customWidth="1"/>
  </cols>
  <sheetData>
    <row r="1" ht="28" customHeight="1" spans="1:3" x14ac:dyDescent="0.25">
      <c r="A1" s="1" t="s">
        <v>457</v>
      </c>
      <c r="B1" s="1"/>
      <c r="C1" s="1"/>
    </row>
    <row r="2" ht="28" customHeight="1" spans="1:3" x14ac:dyDescent="0.25">
      <c r="A2" s="1"/>
      <c r="B2" s="1"/>
      <c r="C2" s="1"/>
    </row>
    <row r="3" ht="38" customHeight="1" spans="1:3" x14ac:dyDescent="0.25">
      <c r="A3" s="2" t="s">
        <v>458</v>
      </c>
      <c r="B3" s="2"/>
      <c r="C3" s="2"/>
    </row>
    <row r="5" ht="34" customHeight="1" spans="1:3" x14ac:dyDescent="0.25">
      <c r="A5" s="5" t="s">
        <v>459</v>
      </c>
      <c r="B5" s="5" t="s">
        <v>460</v>
      </c>
      <c r="C5" s="5" t="s">
        <v>461</v>
      </c>
    </row>
    <row r="6" ht="43" customHeight="1" spans="1:3" x14ac:dyDescent="0.25">
      <c r="A6" s="4" t="s">
        <v>462</v>
      </c>
      <c r="B6" s="4">
        <f>COUNTIF('작성양식'!D5:D113,"필수")</f>
        <v>48</v>
      </c>
      <c r="C6" s="4" t="s">
        <v>463</v>
      </c>
    </row>
    <row r="7" ht="43" customHeight="1" spans="1:3" x14ac:dyDescent="0.25">
      <c r="A7" s="4" t="s">
        <v>464</v>
      </c>
      <c r="B7" s="4">
        <f>COUNTIFS('작성양식'!D5:D113,"필수",'작성양식'!E5:E113,"")</f>
        <v>23</v>
      </c>
      <c r="C7" s="4" t="s">
        <v>465</v>
      </c>
    </row>
    <row r="8" ht="43" customHeight="1" spans="1:3" x14ac:dyDescent="0.25">
      <c r="A8" s="4" t="s">
        <v>410</v>
      </c>
      <c r="B8" s="4" t="str">
        <f>'작성양식'!E111</f>
        <v>아니오</v>
      </c>
      <c r="C8" s="4" t="s">
        <v>466</v>
      </c>
    </row>
    <row r="9" ht="43" customHeight="1" spans="1:3" x14ac:dyDescent="0.25">
      <c r="A9" s="4" t="s">
        <v>414</v>
      </c>
      <c r="B9" s="4" t="str">
        <f>'작성양식'!E112</f>
        <v>아니오</v>
      </c>
      <c r="C9" s="4" t="s">
        <v>466</v>
      </c>
    </row>
    <row r="10" ht="43" customHeight="1" spans="1:3" x14ac:dyDescent="0.25">
      <c r="A10" s="4" t="s">
        <v>417</v>
      </c>
      <c r="B10" s="4" t="str">
        <f>'작성양식'!E113</f>
        <v>아니오</v>
      </c>
      <c r="C10" s="4" t="s">
        <v>466</v>
      </c>
    </row>
    <row r="11" ht="43" customHeight="1" spans="1:3" x14ac:dyDescent="0.25">
      <c r="A11" s="4" t="s">
        <v>386</v>
      </c>
      <c r="B11" s="4" t="str">
        <f>'작성양식'!E105</f>
        <v>pending</v>
      </c>
      <c r="C11" s="4" t="s">
        <v>467</v>
      </c>
    </row>
    <row r="13" ht="28" customHeight="1" spans="1:3" x14ac:dyDescent="0.25">
      <c r="A13" s="3" t="s">
        <v>468</v>
      </c>
      <c r="B13" s="3"/>
      <c r="C13" s="3"/>
    </row>
    <row r="14" spans="1:3" x14ac:dyDescent="0.25">
      <c r="A14" s="16" t="str">
        <f>IF(AND(B7=0,B8="예",B9="예",B10="예"),"제출 가능","작성양식을 다시 확인해 주세요")</f>
        <v>작성양식을 다시 확인해 주세요</v>
      </c>
      <c r="B14" s="16"/>
      <c r="C14" s="16"/>
    </row>
    <row r="15" spans="1:3" x14ac:dyDescent="0.25">
      <c r="A15" s="16"/>
      <c r="B15" s="16"/>
      <c r="C15" s="16"/>
    </row>
    <row r="17" ht="28" customHeight="1" spans="1:3" x14ac:dyDescent="0.25">
      <c r="A17" s="3" t="s">
        <v>469</v>
      </c>
      <c r="B17" s="3"/>
      <c r="C17" s="3"/>
    </row>
    <row r="18" ht="58" customHeight="1" spans="1:3" x14ac:dyDescent="0.25">
      <c r="A18" s="4" t="s">
        <v>470</v>
      </c>
      <c r="B18" s="4" t="s">
        <v>471</v>
      </c>
      <c r="C18" s="4" t="s">
        <v>472</v>
      </c>
    </row>
    <row r="19" ht="58" customHeight="1" spans="1:3" x14ac:dyDescent="0.25">
      <c r="A19" s="4" t="s">
        <v>473</v>
      </c>
      <c r="B19" s="4" t="s">
        <v>474</v>
      </c>
      <c r="C19" s="4" t="s">
        <v>475</v>
      </c>
    </row>
    <row r="20" ht="58" customHeight="1" spans="1:3" x14ac:dyDescent="0.25">
      <c r="A20" s="4" t="s">
        <v>476</v>
      </c>
      <c r="B20" s="4" t="s">
        <v>477</v>
      </c>
      <c r="C20" s="4" t="s">
        <v>478</v>
      </c>
    </row>
    <row r="21" ht="58" customHeight="1" spans="1:3" x14ac:dyDescent="0.25">
      <c r="A21" s="4" t="s">
        <v>479</v>
      </c>
      <c r="B21" s="4" t="s">
        <v>480</v>
      </c>
      <c r="C21" s="4" t="s">
        <v>481</v>
      </c>
    </row>
  </sheetData>
  <mergeCells count="5">
    <mergeCell ref="A1:C2"/>
    <mergeCell ref="A3:C3"/>
    <mergeCell ref="A13:C13"/>
    <mergeCell ref="A14:C15"/>
    <mergeCell ref="A17:C17"/>
  </mergeCells>
  <conditionalFormatting sqref="A14:C15">
    <cfRule type="expression" dxfId="48" priority="1">
      <formula>$A$14="제출 가능"</formula>
    </cfRule>
  </conditionalFormatting>
  <conditionalFormatting sqref="B7">
    <cfRule type="cellIs" dxfId="49" priority="2" operator="greaterThan">
      <formula>0</formula>
    </cfRule>
  </conditionalFormatting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안내</vt:lpstr>
      <vt:lpstr>작성양식</vt:lpstr>
      <vt:lpstr>템플릿안내</vt:lpstr>
      <vt:lpstr>제출전확인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Insurance Web Factory</dc:creator>
  <dc:title/>
  <dc:subject/>
  <dc:description/>
  <cp:keywords/>
  <cp:category/>
  <cp:lastModifiedBy>Unknown</cp:lastModifiedBy>
  <dcterms:created xsi:type="dcterms:W3CDTF">2026-09-08T09:51:42Z</dcterms:created>
  <dcterms:modified xsi:type="dcterms:W3CDTF">2026-09-08T09:51:42Z</dcterms:modified>
</cp:coreProperties>
</file>